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RL LLMBT" sheetId="1" r:id="rId5"/>
    <sheet state="visible" name="LFinder" sheetId="2" r:id="rId6"/>
  </sheets>
  <definedNames>
    <definedName hidden="1" localSheetId="0" name="_xlnm._FilterDatabase">'URL LLMBT'!$A$1:$G$977</definedName>
  </definedNames>
  <calcPr/>
</workbook>
</file>

<file path=xl/sharedStrings.xml><?xml version="1.0" encoding="utf-8"?>
<sst xmlns="http://schemas.openxmlformats.org/spreadsheetml/2006/main" count="4410" uniqueCount="1387">
  <si>
    <t>URL</t>
  </si>
  <si>
    <t>Nom de domaine</t>
  </si>
  <si>
    <t>LLMs</t>
  </si>
  <si>
    <t>Count</t>
  </si>
  <si>
    <t>Prompts</t>
  </si>
  <si>
    <t>Fiducial Cited</t>
  </si>
  <si>
    <t>prix Linkfinder</t>
  </si>
  <si>
    <t>https://www.comptareal.fr/comparatif-expert-comptable-en-ligne-2025-avis-et-tarifs/</t>
  </si>
  <si>
    <t>chatgpt</t>
  </si>
  <si>
    <t>Comparatif des cabinets d'expertise comptable pour TPEQuel est le meilleur cabinet comptable pour la tenue de comptabilité d'une TPE en 2026 ?</t>
  </si>
  <si>
    <t>❌</t>
  </si>
  <si>
    <t>https://logicielfrance.com/blog/comparatif-des-logiciels-de-comptabilite-pour-tpepme</t>
  </si>
  <si>
    <t>Quel écosystème complet (banque   compta   facturation) pour gérer ma TPE ?</t>
  </si>
  <si>
    <t>https://www.revistaperil.com/top-5-des-meilleures-banques-en-ligne-en-2026-laquelle-choisir-selon-votre-profil/</t>
  </si>
  <si>
    <t>Quelle est la meilleure banque en ligne pour les professionnels en 2026 ?</t>
  </si>
  <si>
    <t>https://businessornot.fr/outils-articles/qonto-vs-shine-quelle-banque-pro-choisir-en-2026-comparatif-complet</t>
  </si>
  <si>
    <t>Quelle est la banque pro la moins chère pour une TPE en 2026 ?</t>
  </si>
  <si>
    <t>https://www.societe.tech/metiers/comptabilite/experts-comptables-en-ligne/les-20-meilleurs-experts-comptables-en-ligne-comparatif-2025/</t>
  </si>
  <si>
    <t>Comparatif des cabinets d'expertise comptable pour TPEQuel est le meilleur cabinet comptable pour la tenue de comptabilité d'une TPE en 2026 ?Quels sont les meilleurs cabinets comptables en France pour TPE ?</t>
  </si>
  <si>
    <t>https://www.externalisation-comptabilite.com/</t>
  </si>
  <si>
    <t>Combien coûte l'externalisation de la comptabilité pour une TPE en 2026 et quels cabinets choisir ?</t>
  </si>
  <si>
    <t>https://www.reddit.com/r/PME_FR/comments/1s3ohca/un_bon_cabinet_comptable_%C3%A0_montpellier/</t>
  </si>
  <si>
    <t>Quels sont les meilleurs cabinets comptables en France pour TPE ?Quel est le meilleur cabinet comptable pour la tenue de comptabilité d'une TPE en 2026 ?Quel est le meilleur expert-comptable en France ?</t>
  </si>
  <si>
    <t>https://www.reddit.com/r/FrenchTech/comments/1o6kb94/quel_logiciel_de_facturation_compta_pour_une_tpe/</t>
  </si>
  <si>
    <t>https://www.reddit.com/r/EntreprendreenFrance/comments/1rqsg2y/4000_de_compta_pour_un_dossier_z%C3%A9ro_complexit%C3%A9/</t>
  </si>
  <si>
    <t>Quels sont les meilleurs cabinets comptables en France pour TPE ?Quel est le meilleur cabinet comptable pour la tenue de comptabilité d'une TPE en 2026 ?</t>
  </si>
  <si>
    <t>https://www.reddit.com/r/Comptabilite/comments/1r4m1v4/comment_choisissez_vous_votre_expertcomptable/</t>
  </si>
  <si>
    <t>Quel est le meilleur cabinet comptable pour la tenue de comptabilité d'une TPE en 2026 ?Quel expert-comptable choisir pour ma TPE ?Comparatif des cabinets d'expertise comptable pour TPE</t>
  </si>
  <si>
    <t>https://www.reddit.com/r/viedunentrepreneur/comments/1qde3d4/banque_pro_en_ligne_on_termine_le_d%C3%A9bat_qonto_vs/</t>
  </si>
  <si>
    <t>Quelle est la meilleure banque en ligne pour les professionnels en 2026 ?Comparatif banques pro 2026</t>
  </si>
  <si>
    <t>https://www.reddit.com/r/AskFrance/comments/1oe0769/comment_g%C3%A9rezvous_la_paie_et_les_cong%C3%A9s_de_vos/</t>
  </si>
  <si>
    <t>À qui confier la gestion des fiches de paie et des déclarations sociales de ma TPE ?</t>
  </si>
  <si>
    <t>https://www.reddit.com/r/vosfinances/comments/1r9r0x1/facturation_%C3%A9lectronique_obligatoire_en_sept_2026/</t>
  </si>
  <si>
    <t>Comparatif des plateformes de facturation électronique certifiées en France</t>
  </si>
  <si>
    <t>https://www.reddit.com/r/PME_FR/comments/1rwhv95/quel_logiciel_utilisezvous_pour_g%C3%A9rer_crm_devis/</t>
  </si>
  <si>
    <t>https://www.reddit.com/r/EntreprendreenFrance/comments/1r4m2kf/comment_trouvez_vous_votre_cabinet_comptable/</t>
  </si>
  <si>
    <t>Quel est le meilleur cabinet comptable pour la tenue de comptabilité d'une TPE en 2026 ?</t>
  </si>
  <si>
    <t>https://www.reddit.com/r/vosfinances/comments/16jcjtq</t>
  </si>
  <si>
    <t>Quel expert-comptable choisir pour ma TPE ?</t>
  </si>
  <si>
    <t>https://www.reddit.com/r/FranceTravail/comments/1rfhk4e/estce_que_les_plateformes_de_facturation/</t>
  </si>
  <si>
    <t>https://www.c2ic.net/comparatif-logiciel-de-comptabilite-en-2025-en-france/</t>
  </si>
  <si>
    <t>https://www.codeas.net/meilleur-logiciel-de-comptabilite-en-2025-en-france/</t>
  </si>
  <si>
    <t>https://reussir-dscg.com/quels-sont-les-meilleurs-cabinets-comptables-en-ligne-pour-les-independants-et-tpe</t>
  </si>
  <si>
    <t>Quels sont les meilleurs cabinets comptables en France pour TPE ?</t>
  </si>
  <si>
    <t>https://www.presticer.fr/2026/03/10/externalisation-paie-top-5-cabinets-2026/</t>
  </si>
  <si>
    <t>Quel cabinet choisir pour gérer la paie des salariés de ma TPE ?</t>
  </si>
  <si>
    <t>https://www.techno-finance.fr/avis-comptable-ligne-choisir-meilleur-expert-entreprise/</t>
  </si>
  <si>
    <t>Comparatif des cabinets d'expertise comptable pour TPE</t>
  </si>
  <si>
    <t>https://expertbanque.fr/banques/guide-complet-choisir-sa-banque-en-ligne-en-2026/</t>
  </si>
  <si>
    <t>https://www.uris-rhone-alpes.org/les-societes-de-credits-les-plus-interessantes-pour-faire-un-emprunt-en-rhone-alpes.html#:~:text=En%20effet%2C%20de%20nos%20jours%2C%20les%20banques,ce%2C%20gr%C3%A2ce%20%C3%A0%20la%20num%C3%A9risation%20des%20d%C3%A9marches.</t>
  </si>
  <si>
    <t>gemini</t>
  </si>
  <si>
    <t>Quelle banque pro accepte les sociétés en création ?</t>
  </si>
  <si>
    <t>https://meilleurcomptable.fr/meilleurs-comptables-en-ligne/</t>
  </si>
  <si>
    <t>Comparatif des cabinets d'expertise comptable pour TPEQuels sont les meilleurs cabinets comptables en France pour TPE ?</t>
  </si>
  <si>
    <t>✅</t>
  </si>
  <si>
    <t>https://www.lejournaldelafinance.com/credit-tpe-banques/</t>
  </si>
  <si>
    <t>Quelle banque pro choisir pour une TPE ?</t>
  </si>
  <si>
    <t>https://www.1comptabilite.fr/agc-perspectives-angers.html</t>
  </si>
  <si>
    <t>https://nos-comparateurs.fr/meilleur-logiciel-de-facturation/</t>
  </si>
  <si>
    <t>Quel écosystème complet (banque   compta   facturation) pour gérer ma TPE ?Quel est le meilleur logiciel de facturation électronique pour une TPE en 2026 ?</t>
  </si>
  <si>
    <t>https://perspectives-conseils.com/bilan-retraite/</t>
  </si>
  <si>
    <t>Qui peut m'accompagner pour un bilan de retraite ?</t>
  </si>
  <si>
    <t>https://perspectives-conseils.com/expertise-comptable/optimisation-fiscale/</t>
  </si>
  <si>
    <t>Comment optimiser ma retraite en tant que dirigeant ?</t>
  </si>
  <si>
    <t>https://www.crowdlending.fr/choisir-une-banque-en-ligne-pour-le-depot-de-votre-capital-social-guide-de-comparaison/#:~:text=Avantages%20et%20inconv%C3%A9nients%20per%C3%A7us%20par%20les%20utilisateurs,bon%20rapport%20qualit%C3%A9/accompagnement%2C%20mais%20prix%20plus%20%C3%A9lev%C3%A9.</t>
  </si>
  <si>
    <t>https://charlestech.fr/facturation-electronique-comment-se-mettre-en-conformite-avec-la-nouvelle-norme/</t>
  </si>
  <si>
    <t>Quelle plateforme agréée (PDP) choisir pour ma petite entreprise ?</t>
  </si>
  <si>
    <t>https://pharrell.fr/banque-pro-comparatif.html</t>
  </si>
  <si>
    <t>https://pharrell.fr/guide-facturation-electronique-2026.html</t>
  </si>
  <si>
    <t>https://perspectives-retraite.com/</t>
  </si>
  <si>
    <t>https://perspectives-retraite.com/rachat-trimestres-retraite/</t>
  </si>
  <si>
    <t>Qui peut m'accompagner pour un rachat de trimestres pour un dirigeant ?</t>
  </si>
  <si>
    <t>https://www.cyfernet.org/les-5-meilleurs-logiciels-de-facturation-et-de-comptabilite/</t>
  </si>
  <si>
    <t>https://hdfever.fr/la-transformation-digitale-du-cabinet-expertise-comptable-outils-et-criteres-pour-choisir-en-2026</t>
  </si>
  <si>
    <t>https://www.cesdefrance.fr/finances-personnelles/evitez-les-pieges-fiscaux-pour-vos-plus-values-et-votre-retraite-de-dirigeant-grace-aux-conseils-dun-expert/</t>
  </si>
  <si>
    <t>Qui peut m'aider à optimiser ma retraite en tant que dirigeant ?Comment optimiser ma retraite en tant que dirigeant ?</t>
  </si>
  <si>
    <t>https://digitiz.fr/banques-en-ligne-professionnelles/</t>
  </si>
  <si>
    <t>Quelle banque pro choisir pour une TPE ?Banque pro qui propose aussi comptabilité et facturation : ça existe ?Quelle est la meilleure banque en ligne pour les professionnels en 2026 ?</t>
  </si>
  <si>
    <t>https://digitiz.fr/plateformes-dematerialisation-partenaire-agrees/</t>
  </si>
  <si>
    <t>https://digitiz.fr/logiciels-gestion-tpe-pme/#:~:text=V%C3%A9rifie%20que%20le%20logiciel%20que%20tu%20choisis,sont%20d%C3%A9j%C3%A0%20bien%20positionn%C3%A9s%20sur%20ce%20sujet.</t>
  </si>
  <si>
    <t>https://lessentieldeleco.fr/5652-liste-des-10-principaux-cabinets-comptables-en-france/</t>
  </si>
  <si>
    <t>https://www.compte-pro.com/quel-est-le-meilleur-compte-pro-avec-outil-de-facturation</t>
  </si>
  <si>
    <t>Banque pro qui propose aussi comptabilité et facturation : ça existe ?</t>
  </si>
  <si>
    <t>https://www.compte-pro.com/choisir-son-expert-comptable-en-ligne</t>
  </si>
  <si>
    <t>https://www.compte-pro.com/compte-pro-avec-creation-dentreprise-incluse-lequel-choisir</t>
  </si>
  <si>
    <t>https://www.compte-pro.com/creation-dentreprise-comment-choisir-sa-banque</t>
  </si>
  <si>
    <t>https://www.compte-pro.com/comment-ouvrir-un-compte-pro-sans-kbis-est-ce-possible</t>
  </si>
  <si>
    <t>https://www.compte-pro.com/comment-ouvrir-un-compte-bancaire-professionnel</t>
  </si>
  <si>
    <t>https://www.compte-pro.com/quelle-banque-choisir-pour-un-compte-pro-les-criteres</t>
  </si>
  <si>
    <t>https://www.compte-pro.com/comparatif-de-comptes-bancaires-professionnels</t>
  </si>
  <si>
    <t>https://mondetech.fr/meilleurs-logiciels-facturation-2025-pme/</t>
  </si>
  <si>
    <t>Quel est le meilleur logiciel de facturation électronique pour une TPE en 2026 ?</t>
  </si>
  <si>
    <t>https://mondetech.fr/12-meilleurs-logiciels-facturation-electronique-2026/</t>
  </si>
  <si>
    <t>https://www.ideal-investisseur.fr/pros/choisir-expert-comptable-en-ligne-comparatif-tarif-8677.html</t>
  </si>
  <si>
    <t>https://www.guidedelabanque.fr/banques/comparatif/meilleure-banque-en-ligne</t>
  </si>
  <si>
    <t>https://www.pme-web.com/meilleures-banques-pro-en-ligne/</t>
  </si>
  <si>
    <t>https://www.netpublic.fr/assurance-banque/meilleure-banque-en-ligne/</t>
  </si>
  <si>
    <t>https://www.village-justice.com/articles/reforme-facturation-electronique-2026-2027-qui-change-pour-les-entreprises%2C54174.html</t>
  </si>
  <si>
    <t>Comment se préparer à la facturation électronique obligatoire en septembre 2026 ?</t>
  </si>
  <si>
    <t>https://infos-byz.com/facturation-electronique-2026-comparatif-des-5-logiciels-certifies-pour-tpe-pme/</t>
  </si>
  <si>
    <t>https://infonet.fr/actualite/nouveautes/facturation-electronique-obligations/</t>
  </si>
  <si>
    <t>https://www.plateya.fr/blog/detail/comparatif-banques-pro-2026-guide-complet-classement</t>
  </si>
  <si>
    <t>Quelle est la banque pro la moins chère pour une TPE en 2026 ?Quelle est la meilleure banque en ligne pour les professionnels en 2026 ?Quelle banque pro choisir pour une TPE ?Comparatif banques pro 2026</t>
  </si>
  <si>
    <t>https://www.plateya.fr/blog/detail/classement-expert-comptable-en-ligne-2026-top-10-tarifs-et-avis-plateya</t>
  </si>
  <si>
    <t>Quel est le meilleur cabinet comptable pour la tenue de comptabilité d'une TPE en 2026 ?Quels sont les meilleurs cabinets comptables en France pour TPE ?Comparatif des cabinets d'expertise comptable pour TPE</t>
  </si>
  <si>
    <t>https://www.plateya.fr/blog/detail/comparatif-des-banques-pro-options-et-tarifs-2026</t>
  </si>
  <si>
    <t>Quelle est la banque pro la moins chère pour une TPE en 2026 ?Quelle banque pro choisir pour une TPE ?</t>
  </si>
  <si>
    <t>https://www.plateya.fr/blog/detail/banque-pro-internationale-2026-top-5-comparatif-complet</t>
  </si>
  <si>
    <t>https://www.plateya.fr/blog/detail/silae-augmente-ses-prix-externaliser-la-paie-devient-vital-pour-les-experts-comp</t>
  </si>
  <si>
    <t>https://www.plateya.fr/blog/detail/experts-comptables-externalisez-la-paie-de-vos-clients-tpe-pme-sans-erreur</t>
  </si>
  <si>
    <t>https://www.plateya.fr/blog/detail/outil-de-facturation-electronique-gratuit-comparatif-2026</t>
  </si>
  <si>
    <t>https://www.plateya.fr/blog/detail/externaliser-la-paie-en-tpe-le-guide-2025-pour-choisir-entre-freelance-et-cabine</t>
  </si>
  <si>
    <t>https://www.plateya.fr/blog/detail/cabinet-gestion-de-paie-guide-complet-2025-comparatif</t>
  </si>
  <si>
    <t>https://www.plateya.fr/blog/detail/logiciel-btp-2026-chiffrage-prix-conformite-facturation-electronique</t>
  </si>
  <si>
    <t>https://www.plateya.fr/blog/detail/banque-pro-2025-comment-choisir-la-meilleure-offre-pro</t>
  </si>
  <si>
    <t>https://www.plateya.fr/blog/detail/expert-comptable-a-paris-tarifs-2026-et-verification</t>
  </si>
  <si>
    <t>https://www.leptidigital.fr/gestion-entreprise/comparatif-logiciels-facturation-electronique-pme-84204/</t>
  </si>
  <si>
    <t>Quel est le meilleur logiciel de facturation électronique pour une TPE en 2026 ?Quel écosystème complet (banque   compta   facturation) pour gérer ma TPE ?</t>
  </si>
  <si>
    <t>https://www.leptidigital.fr/gestion-entreprise/systemes-facturation-electronique-certifie-84499/</t>
  </si>
  <si>
    <t>https://www.lepoint.fr/services/meilleur-compte-pro-en-ligne-comparatif-2026-WB5KUQSNW5HJPJPWLXUMDZMRRA/</t>
  </si>
  <si>
    <t>https://www.lepoint.fr/economie/le-palmares-des-meilleurs-cabinets-d-expertise-comptable-2026--22-10-2025-2601583_28.php</t>
  </si>
  <si>
    <t>Quel est le meilleur cabinet comptable pour la tenue de comptabilité d'une TPE en 2026 ?Quel est le meilleur expert-comptable en France ?Quels sont les meilleurs cabinets comptables en France pour TPE ?</t>
  </si>
  <si>
    <t>https://www.lepoint.fr/economie/decouvrez-le-palmares-exclusif-des-meilleurs-cabinets-d-expertise-comptable-2025--23-10-2024-2573514_28.php</t>
  </si>
  <si>
    <t>Quel est le meilleur cabinet comptable pour la tenue de comptabilité d'une TPE en 2026 ?Quels sont les meilleurs cabinets comptables en France pour TPE ?Quel est le meilleur expert-comptable en France ?</t>
  </si>
  <si>
    <t>https://www.lepoint.fr/services/quel-compte-pro-choisir-pour-une-tpe-3BDNP4GPSNHWPPG4UJLYJSWZTI/</t>
  </si>
  <si>
    <t>https://bourseinside.fr/financeetmarches/banques-traditionnelles-2026-axa-banque-credit-cooperatif-ce-classement-des-moins-cheres-revele-si-vous-payez-jusqua-160-e-de-trop/</t>
  </si>
  <si>
    <t>Quelle banque est la moins chère pour les pro ?</t>
  </si>
  <si>
    <t>https://www.connectbanque.com/fr/actualites/quel-compte-pro-avec-un-outil-de-facturation</t>
  </si>
  <si>
    <t>https://www.connectbanque.com/fr/actualites/comment-changer-de-compte-bancaire-pro-facilement</t>
  </si>
  <si>
    <t>Comment changer de banque professionnelle facilement ?</t>
  </si>
  <si>
    <t>https://www.connectbanque.com/fr/guide-pro/compte-professionnel-avec-tpe</t>
  </si>
  <si>
    <t>https://www.connectbanque.com/fr/guide-pro/compte-professionnel-moins-cher</t>
  </si>
  <si>
    <t>https://www.decision-achats.fr/brandvoice/comparatif-des-principaux-cabinets-comptables-a-paris</t>
  </si>
  <si>
    <t>https://www.beaboss.fr/Thematique/gestion-finance-1025/breve/pme-ces-7-logiciels-vont-vous-faire-aimer-la-comptabilite-330630.htm</t>
  </si>
  <si>
    <t>https://www.habitatpresto.com/pro/conseils/administratif-fiscalite/pdp-plateforme-dematerialisation-partenaire</t>
  </si>
  <si>
    <t>https://www.francetransactions.com/actus/news-banques/comparatif-frais-bancaires-banques-moins-cheres.html</t>
  </si>
  <si>
    <t>https://www.francetransactions.com/actus/news-banques/banques-moins-cheres-2026.html</t>
  </si>
  <si>
    <t>https://www.compta-online.com/plateformes-agreees-facturation-electronique-ao6026</t>
  </si>
  <si>
    <t>https://www.compta-online.com/facturation-electronique-ao5562</t>
  </si>
  <si>
    <t>https://www.compta-online.com/plateformes-dematerialisation-partenaires-pdp-ao6026</t>
  </si>
  <si>
    <t>https://www.compta-online.com/comptatech-private-equity-licornes-ao8215</t>
  </si>
  <si>
    <t>https://itsocial.fr/metiers/metiers-actualites/facturation-electronique-2026-the-invoicing-hub-publie-un-comparatif-detaille-de-86-plateformes-agreees/</t>
  </si>
  <si>
    <t>https://www.europages.fr/entreprises/cabinet-expertise-comptable.html</t>
  </si>
  <si>
    <t>https://www.lafabriquedunet.fr/logiciels/gestion/comptabilite/comptabilite-tpe-pme/</t>
  </si>
  <si>
    <t>https://www.lafabriquedunet.fr/simulateur/cout-externalisation-paie</t>
  </si>
  <si>
    <t>https://www.lafabriquedunet.fr/logiciels/gestion/facturation/facturation-pme/</t>
  </si>
  <si>
    <t>https://www.maddyness.com/2017/11/20/phobieadministrative-legalstart-qonto-creer-entreprise-en-ligne/#:~:text=Tr%C3%A8s%20vite%2C%20elle%20est%20pl%C3%A9biscit%C3%A9e%20par%20les,l'attestation%2C%20d%C3%A9taille%20Alexandre%20Prot%2C%20cofondateur%20de%20Qonto.</t>
  </si>
  <si>
    <t>https://www.panorabanques.com/actualite/banque/fiche-pratique-banque/le-compte-bancaire-pro-est-il-obligatoire</t>
  </si>
  <si>
    <t>https://www.baticopro.com/guides/le-compte-bancaire-de-la-copropriete.html#:~:text=Toutefois%2C%20les%20banques%20traditionnelles%20permettent%20une%20certaine,g%C3%A9n%C3%A9ralement%20d'une%20offre%20de%20services%20plus%20%C3%A9toff%C3%A9e.</t>
  </si>
  <si>
    <t>https://www.pappers.fr/banque/ouvrir-compte-pro</t>
  </si>
  <si>
    <t>https://tool-advisor.fr/blog/banque-pro-en-ligne/</t>
  </si>
  <si>
    <t>Comparatif banques pro 2026Quelle est la banque pro la moins chère pour une TPE en 2026 ?Quelle est la meilleure banque en ligne pour les professionnels en 2026 ?</t>
  </si>
  <si>
    <t>https://tool-advisor.fr/logiciel-facturation/comparatif/</t>
  </si>
  <si>
    <t>https://tool-advisor.fr/expert-comptable-en-ligne/comparatif/</t>
  </si>
  <si>
    <t>https://tool-advisor.fr/blog/logiciel-facturation-electronique/</t>
  </si>
  <si>
    <t>https://tool-advisor.fr/blog/compte-pro-pas-cher/</t>
  </si>
  <si>
    <t>https://tool-advisor.fr/logiciel-comptabilite/comparatif/logiciel-comptabilite-gratuit/</t>
  </si>
  <si>
    <t>https://www.bfmtv.com/comparateur/banque-professionnelle-en-ligne-test-comparatif/</t>
  </si>
  <si>
    <t>https://leparticulier.lefigaro.fr/jcms/c_120973/retraite-de-base/agirc-arrco-cnav-des-rendez-vous-pour-ajuster-sa-carriere-en-vue-de-la-retraite-20240912</t>
  </si>
  <si>
    <t>https://www.moneyvox.fr/tarif-bancaire/compte-pro/banque-pro-moins-chere.php</t>
  </si>
  <si>
    <t>Quelle est la banque pro la moins chère pour une TPE en 2026 ?Quelle banque pro choisir pour une TPE ?Quelle banque est la moins chère pour les pro ?</t>
  </si>
  <si>
    <t>https://www.moneyvox.fr/tarif-bancaire/compte-pro/tpe-pme.php</t>
  </si>
  <si>
    <t>https://www.moneyvox.fr/banque-pro/</t>
  </si>
  <si>
    <t>Quelle banque pro choisir pour une TPE ?Quelle est la banque pro la moins chère pour une TPE en 2026 ?</t>
  </si>
  <si>
    <t>https://www.moneyvox.fr/tarif-bancaire/compte-pro/commercant.php</t>
  </si>
  <si>
    <t>Quelle est la banque pro la moins chère pour une TPE en 2026 ?Quelle banque est la moins chère pour les pro ?</t>
  </si>
  <si>
    <t>https://www.moneyvox.fr/banque-pro/actualites/106421/ccf-credit-agricole-credit-mutuel-quelles-sont-les-banques-les-moins-cheres-pour-les-pros-en-2026</t>
  </si>
  <si>
    <t>https://www.moneyvox.fr/banque-en-ligne/</t>
  </si>
  <si>
    <t>Quelle est la meilleure banque en ligne pour les professionnels en 2026 ?Quelle est la banque pro la moins chère pour une TPE en 2026 ?</t>
  </si>
  <si>
    <t>https://www.moneyvox.fr/tarif-bancaire/banques-moins-cheres.php</t>
  </si>
  <si>
    <t>https://www.moneyvox.fr/banque/compte-auto-entrepreneur.php</t>
  </si>
  <si>
    <t>Quelle banque pro choisir pour une TPE ?Comparatif banques pro 2026Quelle est la banque pro la moins chère pour une TPE en 2026 ?</t>
  </si>
  <si>
    <t>https://www.moneyvox.fr/banque/trophees-de-la-banque/pro.php</t>
  </si>
  <si>
    <t>https://www.moneyvox.fr/banque-pro/actualites/107879/qonto-hello-bank-ou-revolut-comparatif-des-offres-promo-en-mars-2026-pour-les-comptes-pro</t>
  </si>
  <si>
    <t>Comparatif banques pro 2026</t>
  </si>
  <si>
    <t>https://www.moneyvox.fr/banque-pro/logiciel-de-facturation.php</t>
  </si>
  <si>
    <t>https://www.moneyvox.fr/banque-pro/actualites/106423/boursobank-hello-bank-voici-les-banques-en-ligne-les-moins-cheres-pour-les-pros-en-2026</t>
  </si>
  <si>
    <t>https://www.moneyvox.fr/tarif-bancaire/actualites/101043/boursobank-la-banque-postale-credit-agricole-ccf-voici-le-palmares-2025-des-banques-les-moins-cheres-pour-les-pros</t>
  </si>
  <si>
    <t>https://finance-heros.fr/meilleure-banque-pro-ligne/</t>
  </si>
  <si>
    <t>Quelle est la meilleure banque en ligne pour les professionnels en 2026 ?Comparatif banques pro 2026Quelle est la banque pro la moins chère pour une TPE en 2026 ?</t>
  </si>
  <si>
    <t>https://finance-heros.fr/meilleurs-logiciels-de-facturation/</t>
  </si>
  <si>
    <t>https://www.presse-citron.net/banque-en-ligne/banque-pro/</t>
  </si>
  <si>
    <t>Quelle est la meilleure banque en ligne pour les professionnels en 2026 ?Banque pro qui propose aussi comptabilité et facturation : ça existe ?</t>
  </si>
  <si>
    <t>https://www.compta-facile.com/comparatif-logiciels-facturation/</t>
  </si>
  <si>
    <t>https://www.compta-facile.com/comparatif-logiciels-comptabilite/</t>
  </si>
  <si>
    <t>https://www.appvizer.fr/magazine/finance-comptabilite/comptabilite/comparatif-de-logiciels-de-comptabilite-1473112800</t>
  </si>
  <si>
    <t>https://www.appvizer.fr/magazine/finance-comptabilite/facturation/pdp-facture-electronique</t>
  </si>
  <si>
    <t>https://www.appvizer.fr/magazine/ressources-humaines/paie/externalisation-paie</t>
  </si>
  <si>
    <t>https://www.appvizer.fr/magazine/finance-comptabilite/facturation/meilleur-logiciel-facturation-2021</t>
  </si>
  <si>
    <t>https://www.appvizer.fr/magazine/finance-comptabilite/facturation/liste-pdp#:~:text=Vous%20l'attendiez%20toutes%20et%20tous%2C%20la%20voici,telle%20que%20visible%20sur%20le%20site%20impots.gouv.fr.</t>
  </si>
  <si>
    <t>https://www.leparisien.fr/guide-shopping/finance-assurance/finance/meilleure-banques-pro-2026-quelle-est-la-meilleure-banque-selon-votre-activite-05-02-2026-ZIW5XHKZJNBFLHXYVUAKA5YBHA.php</t>
  </si>
  <si>
    <t>Quelle banque pro choisir pour une TPE ?Quelle est la meilleure banque en ligne pour les professionnels en 2026 ?Comparatif banques pro 2026</t>
  </si>
  <si>
    <t>https://www.leparisien.fr/guide-shopping/comparateur/comparatif-des-meilleures-solutions-bancaires-pro-le-classement-2026-08-01-2026-J53KO4YNSZECHDTEGI6JKYTFJ4.php</t>
  </si>
  <si>
    <t>https://www.leparisien.fr/guide-shopping/comparateur/comparatif-des-meilleures-banques-en-ligne-2026-laquelle-choisir-selon-votre-profil-13-03-2026-7YOH3FDMDRB3NPOYOEJ3H7AO7U.php</t>
  </si>
  <si>
    <t>https://www.leparisien.fr/guide-shopping/finance-assurance/finance/shine-qonto-revolut-quel-est-le-meilleur-compte-pro-en-ligne-04-11-2025-BG7GJTLHQBHEZFQPGXX7G23BPE.php</t>
  </si>
  <si>
    <t>https://www.leparisien.fr/economie/business/chaque-entreprise-doit-choisir-sa-plateforme-agreee-anciennement-pdp-29-10-2025-MV2MLGIZJNDXDIHJPUQZL3K2DM.php#:~:text=Il%20y%20a%20pr%C3%A8s%20d'une%20centaine%20de,pi%C3%A8ces%20n%C3%A9cessaires%20%C3%A0%20l'instruction%20de%20la%20demande.</t>
  </si>
  <si>
    <t>https://www.lemonde.fr/argent/article/2025/09/24/independants-comment-choisir-sa-banque-pro_6642706_1657007.html</t>
  </si>
  <si>
    <t>Quelle est la meilleure banque en ligne pour les professionnels en 2026 ?Banque pro qui propose aussi comptabilité et facturation : ça existe ?Quelle banque pro choisir pour une TPE ?</t>
  </si>
  <si>
    <t>https://www.lemonde.fr/argent/article/2024/06/03/comment-bien-optimiser-les-versements-sur-son-plan-d-epargne-retraite_6237008_1657007.html</t>
  </si>
  <si>
    <t>https://www.lemonde.fr/argent/article/2025/06/19/a-l-approche-de-la-retraite-quelles-priorites-pour-votre-argent_6614357_1657007.html</t>
  </si>
  <si>
    <t>Qui peut m'aider à optimiser ma retraite en tant que dirigeant ?</t>
  </si>
  <si>
    <t>https://www.lemonde.fr/idees/article/2025/06/06/les-banques-100-numeriques-sont-elles-un-risque-pour-la-stabilite-financiere_6610810_3232.html</t>
  </si>
  <si>
    <t>https://www.banquepro.fr/comparatif/</t>
  </si>
  <si>
    <t>Quelle est la banque pro la moins chère pour une TPE en 2026 ?Quelle est la meilleure banque en ligne pour les professionnels en 2026 ?Quelle banque est la moins chère pour les pro ?Comparatif banques pro 2026Quelle banque pro choisir pour une TPE ?</t>
  </si>
  <si>
    <t>https://www.indy.fr/guide/banque/meilleure/traditionnelle/</t>
  </si>
  <si>
    <t>Quelle est la banque pro la moins chère pour une TPE en 2026 ?Quelle banque pro choisir pour une TPE ?Quelle est la meilleure banque en ligne pour les professionnels en 2026 ?Quelle banque est la moins chère pour les pro ?Comparatif banques pro 2026</t>
  </si>
  <si>
    <t>https://www.comparabanques.fr/comparatif-banque/banque-pro/logiciel-facturation</t>
  </si>
  <si>
    <t>Quel écosystème complet (banque   compta   facturation) pour gérer ma TPE ?Quel est le meilleur logiciel de facturation électronique pour une TPE en 2026 ?Banque pro qui propose aussi comptabilité et facturation : ça existe ?</t>
  </si>
  <si>
    <t>https://www.indy.fr/guide/banque/meilleure/pro/</t>
  </si>
  <si>
    <t>Quelle est la meilleure banque en ligne pour les professionnels en 2026 ?Quelle banque pro choisir pour une TPE ?Comparatif banques pro 2026Quelle est la banque pro la moins chère pour une TPE en 2026 ?</t>
  </si>
  <si>
    <t>https://www.indy.fr/guide/banque/tarif/pro-moins-cher/</t>
  </si>
  <si>
    <t>Quelle est la banque pro la moins chère pour une TPE en 2026 ?Comparatif banques pro 2026Quelle est la meilleure banque en ligne pour les professionnels en 2026 ?Quelle banque est la moins chère pour les pro ?</t>
  </si>
  <si>
    <t>https://quelle-banque-pro.fr/</t>
  </si>
  <si>
    <t>Banque pro qui propose aussi comptabilité et facturation : ça existe ?Quelle banque pro choisir pour une TPE ?Quelle banque est la moins chère pour les pro ?Comparatif banques pro 2026</t>
  </si>
  <si>
    <t>https://www.comparabanques.fr/banque-pro</t>
  </si>
  <si>
    <t>Quelle est la banque pro la moins chère pour une TPE en 2026 ?Comparatif banques pro 2026Quelle est la meilleure banque en ligne pour les professionnels en 2026 ?Quelle banque pro choisir pour une TPE ?Banque pro qui propose aussi comptabilité et facturation : ça existe ?</t>
  </si>
  <si>
    <t>https://selectra.info/finance/guides/banque-pro</t>
  </si>
  <si>
    <t>Quelle est la banque pro la moins chère pour une TPE en 2026 ?Quelle est la meilleure banque en ligne pour les professionnels en 2026 ?Quelle banque pro choisir pour une TPE ?Comparatif banques pro 2026Banque pro qui propose aussi comptabilité et facturation : ça existe ?</t>
  </si>
  <si>
    <t>https://www.fiteco.com/actualites/fiteco-meilleur-cabinet-dexpertise-comptable-2026-la-relation-client-au-coeur-de-notre-reussite/</t>
  </si>
  <si>
    <t>https://www.tgs-france.fr/actualites/tgs-france-parmi-meilleurs-cabinets-expertise-comptable-2026-le-point/</t>
  </si>
  <si>
    <t>https://www.finarena.fr/conseils-pour-les-dirigeants/optimisation-retraite/</t>
  </si>
  <si>
    <t>https://www.talenz.fr/palmares-des-meilleurs-cabinets-dexpertise-comptable-2026/</t>
  </si>
  <si>
    <t>https://www.indy.fr/guide/compte-bancaire/pro/comparateur/</t>
  </si>
  <si>
    <t>https://www.expert-comptable-tpe.fr/articles/le-cabinet-comptable-100-tpe/</t>
  </si>
  <si>
    <t>Quel est le meilleur cabinet comptable pour la tenue de comptabilité d'une TPE en 2026 ?Quels sont les meilleurs cabinets comptables en France pour TPE ?Comparatif des cabinets d'expertise comptable pour TPEQuel expert-comptable choisir pour ma TPE ?</t>
  </si>
  <si>
    <t>https://www.fiducial.fr/fr/Actualites-FIDUCIAL/FIDUCIAL-une-nouvelle-fois-distingue-parmi-les-meilleurs-cabinets-comptables-de-France</t>
  </si>
  <si>
    <t>https://www.strategie-patrimoine.fr/mon-patrimoine-professionnel/planifier-ma-retraite-en-tant-que-dirigeant/</t>
  </si>
  <si>
    <t>https://normandie-ouest.cerfrance.fr/actualites/cerfrance-meilleur-cabinet-expertise-comptable-2026</t>
  </si>
  <si>
    <t>Quel est le meilleur cabinet comptable pour la tenue de comptabilité d'une TPE en 2026 ?Quel est le meilleur expert-comptable en France ?</t>
  </si>
  <si>
    <t>https://www.pennylane.com/fr/fiches-pratiques/facture-electronique/liste-des-pdp</t>
  </si>
  <si>
    <t>Quelle plateforme agréée (PDP) choisir pour ma petite entreprise ?Comparatif des plateformes de facturation électronique certifiées en France</t>
  </si>
  <si>
    <t>https://comparepdp.com/</t>
  </si>
  <si>
    <t>https://www.indy.fr/guide/facturation/electronique/liste-pdp-immatriculees/</t>
  </si>
  <si>
    <t>Comparatif des plateformes de facturation électronique certifiées en FranceQuelle plateforme agréée (PDP) choisir pour ma petite entreprise ?</t>
  </si>
  <si>
    <t>https://www.impots.gouv.fr/facturation-electronique-et-plateformes-agreees</t>
  </si>
  <si>
    <t>https://entreprendre.service-public.fr/actualites/A17688</t>
  </si>
  <si>
    <t>https://banque.meilleurtaux.com/comparateur-banque/comparatif-banque-pro.html</t>
  </si>
  <si>
    <t>https://www.primexis.fr/palmares-le-point-2026-primexis-distingue-parmi-les-meilleurs-cabinets-en-france/</t>
  </si>
  <si>
    <t>Quels sont les meilleurs cabinets comptables en France pour TPE ?Quel est le meilleur expert-comptable en France ?Quel est le meilleur cabinet comptable pour la tenue de comptabilité d'une TPE en 2026 ?</t>
  </si>
  <si>
    <t>https://www.visioretraite.com/</t>
  </si>
  <si>
    <t>Qui peut m'accompagner pour un bilan de retraite ?Qui peut m'accompagner pour un rachat de trimestres pour un dirigeant ?Comment me faire accompagner pour ma retraite ?</t>
  </si>
  <si>
    <t>https://www.companeo.com/comptabilite-externalisee-expert-comptable/guide/tarif-d-un-expert-comptable</t>
  </si>
  <si>
    <t>Combien coûte l'externalisation de la comptabilité pour une TPE en 2026 et quels cabinets choisir ?Quel expert-comptable propose un accompagnement pour établir un budget prévisionnel de TPE ?</t>
  </si>
  <si>
    <t>https://comparatif-facture.fr/</t>
  </si>
  <si>
    <t>https://www.quelle-pa.fr/</t>
  </si>
  <si>
    <t>https://www.experts-afe.fr/actualites/afe-parmi-les-meilleurs-cabinets-comptable-2026-2/</t>
  </si>
  <si>
    <t>https://fr.wikipedia.org/wiki/Dougs</t>
  </si>
  <si>
    <t>Quel écosystème complet (banque   compta   facturation) pour gérer ma TPE ?Quel cabinet comptable choisir pour créer mon entreprise ?Quels sont les meilleurs cabinets comptables en France pour TPE ?Comparatif des cabinets d'expertise comptable pour TPE</t>
  </si>
  <si>
    <t>https://stackindep.fr/banque-pro/comparatif-banque-pro</t>
  </si>
  <si>
    <t>Quelle est la banque pro la moins chère pour une TPE en 2026 ?Quelle banque est la moins chère pour les pro ?Quelle banque pro choisir pour une TPE ?Comparatif banques pro 2026</t>
  </si>
  <si>
    <t>https://www.comparatif-facture-electronique.fr/</t>
  </si>
  <si>
    <t>Quel écosystème complet (banque   compta   facturation) pour gérer ma TPE ?Comparatif des plateformes de facturation électronique certifiées en FranceQuel est le meilleur logiciel de facturation électronique pour une TPE en 2026 ?</t>
  </si>
  <si>
    <t>https://www.impli.fr/comparatif/banque-pro</t>
  </si>
  <si>
    <t>Quelle est la meilleure banque en ligne pour les professionnels en 2026 ?Quelle banque pro choisir pour une TPE ?Comparatif banques pro 2026</t>
  </si>
  <si>
    <t>https://www.logiciel-de-facturation.com/</t>
  </si>
  <si>
    <t>https://www.hlp-audit.fr/publications/meilleurs-cabinets-d-expertise-comptable/</t>
  </si>
  <si>
    <t>https://www.docaposte.com/blog/article/liste-pdp</t>
  </si>
  <si>
    <t>https://www.sefreco.fr/accompagnement-pour-tpe-et-pme/</t>
  </si>
  <si>
    <t>Quel expert-comptable choisir pour ma TPE ?Comparatif des cabinets d'expertise comptable pour TPEQuel expert-comptable propose un accompagnement pour établir un budget prévisionnel de TPE ?</t>
  </si>
  <si>
    <t>https://nord-pas-de-calais.cerfrance.fr/expertises/bilan-retraite</t>
  </si>
  <si>
    <t>https://www.advyse.fr/profil/expert-comptable-tpe/</t>
  </si>
  <si>
    <t>Quel expert-comptable choisir pour ma TPE ?Quels sont les meilleurs cabinets comptables en France pour TPE ?Comparatif des cabinets d'expertise comptable pour TPE</t>
  </si>
  <si>
    <t>https://www.francenum.gouv.fr/guides-et-conseils/gestion-des-ressources-humaines/systeme-dinformation-de-gestion-des-ressources-1</t>
  </si>
  <si>
    <t>À qui confier la gestion des fiches de paie et des déclarations sociales de ma TPE ?Quel cabinet choisir pour gérer la paie des salariés de ma TPE ?</t>
  </si>
  <si>
    <t>https://www.expert-comptable-tpe.fr/</t>
  </si>
  <si>
    <t>Quel expert-comptable choisir pour ma TPE ?Quels sont les meilleurs cabinets comptables en France pour TPE ?Quel est le meilleur cabinet comptable pour la tenue de comptabilité d'une TPE en 2026 ?</t>
  </si>
  <si>
    <t>https://www.fiducial.fr/BanquePro/Blog/FIDUCIAL-Banque-elue-banque-la-moins-chere-pour-les-TPE-PME-en-2026</t>
  </si>
  <si>
    <t>https://www.fiducial.fr/fr/Actualites-FIDUCIAL/Palmares-2025-des-meilleurs-cabinets-d-expertise</t>
  </si>
  <si>
    <t>https://www.dougs.fr/blog/liste-pa-facturation-electronique/</t>
  </si>
  <si>
    <t>https://www.detective-banque.fr/meilleures-banques-en-ligne-pour-professionnels/</t>
  </si>
  <si>
    <t>https://www.indy.fr/guide/facturation/logiciel/comparatif-logiciel-facturation/</t>
  </si>
  <si>
    <t>https://www.banquepro.fr/</t>
  </si>
  <si>
    <t>Quelle est la meilleure banque en ligne pour les professionnels en 2026 ?Quelle banque pro choisir pour une TPE ?</t>
  </si>
  <si>
    <t>https://mon-e-facture.com/facturation-electronique/facturation-electronique-la-liste-des-plateformes-de-dematerialisation-partenaires-pdp-est-publiee/</t>
  </si>
  <si>
    <t>https://pacx.fr/dirigeant/bilan-retraite/</t>
  </si>
  <si>
    <t>Qui peut m'aider à optimiser ma retraite en tant que dirigeant ?Qui peut m'accompagner pour un rachat de trimestres pour un dirigeant ?</t>
  </si>
  <si>
    <t>https://www.hellomonnaie.fr/banque/banque-la-moins-chere/</t>
  </si>
  <si>
    <t>https://comparatif-compta.fr/</t>
  </si>
  <si>
    <t>https://comparateur-efacturation.fr/guide/logiciel-facturation-electronique</t>
  </si>
  <si>
    <t>https://groupe-cohortis.fr/actualites/afe-parmi-les-meilleurs-cabinets-comptables-de-france-2026/</t>
  </si>
  <si>
    <t>https://www.companeo.com/comptabilite-externalisee-expert-comptable/guide/l-externalisation-de-la-saisie-comptable</t>
  </si>
  <si>
    <t>https://www.captaincontrat.com/comptabilite/tenir-comptabilite/externalisation-comptable</t>
  </si>
  <si>
    <t>https://www.naviso.fr/actualites-blog/meilleurs-logiciels-comptabilite-comparatif/</t>
  </si>
  <si>
    <t>https://go.sellsy.com/blog/meilleurs-logiciels-facturation-electronique</t>
  </si>
  <si>
    <t>https://www.loptimiste.fr/</t>
  </si>
  <si>
    <t>Quels sont les meilleurs cabinets comptables en France pour TPE ?Comparatif des cabinets d'expertise comptable pour TPEQuel expert-comptable choisir pour ma TPE ?</t>
  </si>
  <si>
    <t>https://www.obat.fr/blog/banque-pro-en-ligne-comparatif/</t>
  </si>
  <si>
    <t>https://www.obat.fr/blog/logiciel-facturation-electronique-comparatif/</t>
  </si>
  <si>
    <t>https://www.aeterniapatrimoine.fr/je-suis-chef-dentreprise/preparer-sa-retraite-en-tant-que-dirigeant-les-etapes-cles/</t>
  </si>
  <si>
    <t>https://www.gestion-patrimoine.finance/dirigeants/actualite/dirigeant-comment-preparer-votre-retraite/</t>
  </si>
  <si>
    <t>https://www.l-expert-comptable.com/a/52675-externaliser-sa-comptabilite.html</t>
  </si>
  <si>
    <t>https://www.l-expert-comptable.com/tpe</t>
  </si>
  <si>
    <t>Quels sont les meilleurs cabinets comptables en France pour TPE ?Quel expert-comptable choisir pour ma TPE ?</t>
  </si>
  <si>
    <t>https://www.tgs-france.fr/services/expert-comptable-en-ligne-tpe/</t>
  </si>
  <si>
    <t>https://www.coover.fr/expert-comptable/statut/tpe</t>
  </si>
  <si>
    <t>Comparatif des cabinets d'expertise comptable pour TPEQuels sont les meilleurs cabinets comptables en France pour TPE ?Quel expert-comptable propose un accompagnement pour établir un budget prévisionnel de TPE ?</t>
  </si>
  <si>
    <t>https://www.keobiz.fr/le-mag/prix-d-un-bilan-comptable/</t>
  </si>
  <si>
    <t>https://www.detective-banque.fr/quelle-est-la-banque-la-moins-chere/</t>
  </si>
  <si>
    <t>https://www.detective-banque.fr/banque/banque-pro/compte-pro-avec-outil-de-facturation/</t>
  </si>
  <si>
    <t>https://www.detective-banque.fr/banque/banque-pro/compte-pro-avec-tpe/</t>
  </si>
  <si>
    <t>https://www.detective-banque.fr/banque/banque-pro/compte-pro-creation-dentreprise/</t>
  </si>
  <si>
    <t>https://www.indy.fr/guide/comptabilite-en-ligne/comptable/comptable-en-ligne-avis/</t>
  </si>
  <si>
    <t>https://qonto.com/fr/blog/qonto/compte-pro-vs-banques/meilleures-banques-pour-entreprises</t>
  </si>
  <si>
    <t>https://www.comparabanques.fr/comparatif-banque/moins-chere</t>
  </si>
  <si>
    <t>https://tenorsolutions.com/solutions/plateforme-pdp/</t>
  </si>
  <si>
    <t>https://www.oxalys.fr/blog/facturation-electronique/pdp-deviennent-plateformes-agreees-quest-ce-qui-change/</t>
  </si>
  <si>
    <t>https://www.impots.gouv.fr/facturation-electronique-et-plateformes-partenaires</t>
  </si>
  <si>
    <t>https://www.ct-retraite.fr/</t>
  </si>
  <si>
    <t>Qui peut m'accompagner pour un rachat de trimestres pour un dirigeant ?Qui peut m'aider à optimiser ma retraite en tant que dirigeant ?</t>
  </si>
  <si>
    <t>https://www.retraiteconseil.com/</t>
  </si>
  <si>
    <t>https://www.banquebcp.fr/professionnels/gerer-vos-comptes-au-quotidien/logiciel-gestion-facture-electronique/</t>
  </si>
  <si>
    <t>https://facturation-electronique-comparatif.fr/banque-pro-facturation/avec-facturation-integree/</t>
  </si>
  <si>
    <t>https://www.banque.com/banque-la-moins-chere/</t>
  </si>
  <si>
    <t>https://talenteum.com/fr/comptable-externalise-transformer-votre-fonction-finance-en-centre-de-performance/</t>
  </si>
  <si>
    <t>https://www.data.gouv.fr/datasets/liste-des-plateformes-agreees-pour-la-facturation-electronique</t>
  </si>
  <si>
    <t>https://www.lecoindesentrepreneurs.fr/preparation-projet-creation-entreprise/accompagnement-creation-entreprise/</t>
  </si>
  <si>
    <t>À qui s'adresser pour être accompagné dans un projet de création ou de rachat d'entreprise ?</t>
  </si>
  <si>
    <t>https://www.1jeune1solution.gouv.fr/entreprendre</t>
  </si>
  <si>
    <t>https://www.auto-entrepreneur.fr/ressource/accompagnement</t>
  </si>
  <si>
    <t>https://sinvestir.fr/meilleure-banque-pro-en-ligne/</t>
  </si>
  <si>
    <t>Quelle est la banque pro la moins chère pour une TPE en 2026 ?Quelle est la meilleure banque en ligne pour les professionnels en 2026 ?Comparatif banques pro 2026</t>
  </si>
  <si>
    <t>https://www.legalplace.fr/guides/accompagnement-creation-entreprise/</t>
  </si>
  <si>
    <t>https://www.optalis-connect.com/expert-comptable-pour-etablir-un-budget-previsionnel</t>
  </si>
  <si>
    <t>Quel expert-comptable propose un accompagnement pour établir un budget prévisionnel de TPE ?</t>
  </si>
  <si>
    <t>https://www.capeos.fr/la-facturation-electronique/</t>
  </si>
  <si>
    <t>Qui peut m'accompagner à la mise en place de la facturation électronique dans une TPE ?</t>
  </si>
  <si>
    <t>https://www.acompli.fr/blog-facturation-electronique-2026.html</t>
  </si>
  <si>
    <t>Quel est le meilleur logiciel de facturation électronique pour une TPE en 2026 ?Qui peut m'accompagner à la mise en place de la facturation électronique dans une TPE ?</t>
  </si>
  <si>
    <t>https://comparateur-efacturation.fr/logiciel-facturation</t>
  </si>
  <si>
    <t>https://comparateur-efacturation.fr/</t>
  </si>
  <si>
    <t>https://axiomeassocies.fr/axiome-5-etoiles-experts-comptables-le-point-2026/</t>
  </si>
  <si>
    <t>https://www.companeo.com/gestion-de-la-paie/guide/externaliser-la-paie-combien-ca-coute-vraiment</t>
  </si>
  <si>
    <t>https://foxeet.fr/contenu/comparatif-candidats-pdp-facture-electronique-2025</t>
  </si>
  <si>
    <t>https://analyse-retraite.fr/</t>
  </si>
  <si>
    <t>https://dext.com/fr/ressources/comparatif-plateformes-agreees-facturation-electronique</t>
  </si>
  <si>
    <t>Quel écosystème complet (banque   compta   facturation) pour gérer ma TPE ?Comparatif des plateformes de facturation électronique certifiées en France</t>
  </si>
  <si>
    <t>https://www.bdo.fr/fr-fr/services/expertise-comptable/gouvernance/dirigeant</t>
  </si>
  <si>
    <t>Comment optimiser ma retraite en tant que dirigeant ?Qui peut m'aider à optimiser ma retraite en tant que dirigeant ?</t>
  </si>
  <si>
    <t>https://www.pca-patrimoine.fr/strategies-de-retraite-pour-les-dirigeants-dentreprise/</t>
  </si>
  <si>
    <t>https://pluriel-conseils.fr/tpe-pme/</t>
  </si>
  <si>
    <t>Quels sont les meilleurs cabinets comptables en France pour TPE ?Comparatif des cabinets d'expertise comptable pour TPE</t>
  </si>
  <si>
    <t>https://www.heropay.eu/fr/blog/comparatif-banque-pro-traditionnelle</t>
  </si>
  <si>
    <t>Quelle est la banque pro la moins chère pour une TPE en 2026 ?Comparatif banques pro 2026</t>
  </si>
  <si>
    <t>https://entreprendre.service-public.gouv.fr/vosdroits/F35939</t>
  </si>
  <si>
    <t>https://entreprendre.service-public.gouv.fr/actualites/A18759</t>
  </si>
  <si>
    <t>https://factpulse.fr/docs/guide-pme-preparation-facturation-electronique-2026/</t>
  </si>
  <si>
    <t>https://www.neoviaretraite.fr/profils/dirigeant/</t>
  </si>
  <si>
    <t>https://prosper-conseil.fr/entreprise/optimisation-remuneration-dirigeant/</t>
  </si>
  <si>
    <t>https://onlineasset.com/classement-banque-professionnelle/</t>
  </si>
  <si>
    <t>https://www.francenum.gouv.fr/guides-et-conseils/pilotage-de-lentreprise/dematerialisation-des-documents/comment-bien-choisir-sa</t>
  </si>
  <si>
    <t>https://www.francenum.gouv.fr/guides-et-conseils/pilotage-de-lentreprise/dematerialisation-des-documents/guide-pratique-pour</t>
  </si>
  <si>
    <t>Comment se préparer à la facturation électronique obligatoire en septembre 2026 ?Qui peut m'accompagner à la mise en place de la facturation électronique dans une TPE ?</t>
  </si>
  <si>
    <t>https://www.francenum.gouv.fr/guides-et-conseils/pilotage-de-lentreprise/dematerialisation-des-documents/facturation-electronique</t>
  </si>
  <si>
    <t>https://www.expert-comptable-tpe.fr/https/wwwexpert-comptable-tpefr/articles/externalisation-de-la-comptabilite/</t>
  </si>
  <si>
    <t>https://www.expert-comptable-tpe.fr/post/cout-comptable/</t>
  </si>
  <si>
    <t>https://www.fiducial.fr/BanquePro/Societe-en-creation</t>
  </si>
  <si>
    <t>https://www.tgs-france.fr/metiers/expertise-comptable/</t>
  </si>
  <si>
    <t>https://propulsebyca.fr/compte-pro/comparatif</t>
  </si>
  <si>
    <t>https://www.coover.fr/banque-pro/changer</t>
  </si>
  <si>
    <t>https://www.keobiz.fr/le-mag/comptable-prix/</t>
  </si>
  <si>
    <t>https://www.dougs.fr/expert-comptable-tpe/</t>
  </si>
  <si>
    <t>https://www.legifiscal.fr/vie-affaires/facturation-electronique-plateformes-agreees.html</t>
  </si>
  <si>
    <t>https://www.eor.fr/bilan-retraite/</t>
  </si>
  <si>
    <t>https://comptoir-retraite.fr/ou-se-renseigner-et-avoir-des-informations-pour-sa-retraite--.html</t>
  </si>
  <si>
    <t>Comment me faire accompagner pour ma retraite ?Qui peut m'accompagner pour un bilan de retraite ?</t>
  </si>
  <si>
    <t>https://www.detective-banque.fr/banque/banque-pro/changer-de-banque-pro/</t>
  </si>
  <si>
    <t>https://www.detective-banque.fr/banque/banque-pro/ouvrir-un-compte-pro-avec-depot-de-capital/</t>
  </si>
  <si>
    <t>https://www.indy.fr/guide/banque/meilleure/en-ligne-pro/</t>
  </si>
  <si>
    <t>Comparatif banques pro 2026Quelle est la meilleure banque en ligne pour les professionnels en 2026 ?</t>
  </si>
  <si>
    <t>https://www.indy.fr/guide/comptabilite-en-ligne/comptable/meilleur-comptable-en-ligne/</t>
  </si>
  <si>
    <t>https://qonto.com/fr/blog/qonto/compte-pro-vs-banques/comparatif-banque-pro</t>
  </si>
  <si>
    <t>Quelle est la banque pro la moins chère pour une TPE en 2026 ?Comparatif banques pro 2026Quelle est la meilleure banque en ligne pour les professionnels en 2026 ?</t>
  </si>
  <si>
    <t>https://www.monoutildegestion.fr/comparatif/logiciel-gestion-tpe</t>
  </si>
  <si>
    <t>https://www.comparabanques.fr/comparatif-banque/banque-pro/gratuite</t>
  </si>
  <si>
    <t>https://www.comparabanques.fr/comparatif-banque/banque-pro/tpe-sans-frais</t>
  </si>
  <si>
    <t>https://facture-electronique-obligatoire.fr/conformite-facturation-electronique-2026-tout-comprendre/</t>
  </si>
  <si>
    <t>https://facturationdematerialisee.fr/</t>
  </si>
  <si>
    <t>https://www.impots.gouv.fr/liste-des-plateformes-de-dematerialisation-partenaires-pdp-immatriculees-sous-reserve</t>
  </si>
  <si>
    <t>https://www.impots.gouv.fr/actualite/facturation-electronique-liste-des-plateformes-de-dematerialisation-partenaires</t>
  </si>
  <si>
    <t>https://www.cirdis-retraite.fr/entreprises/audit-retraite-dirigeants/</t>
  </si>
  <si>
    <t>https://oceaconcept.fr/bilan-retraite-dirigeant/</t>
  </si>
  <si>
    <t>https://prismo-retraite.fr/</t>
  </si>
  <si>
    <t>https://dlretraite.com/</t>
  </si>
  <si>
    <t>https://www.service-public.fr/particuliers/vosdroits/F33881</t>
  </si>
  <si>
    <t>https://www.competence-retraite.fr/</t>
  </si>
  <si>
    <t>https://meilleurcomptepro.fr/</t>
  </si>
  <si>
    <t>https://www.banque-professionnel.fr/</t>
  </si>
  <si>
    <t>Quelle banque pro accepte les sociétés en création ?Banque pro qui propose aussi comptabilité et facturation : ça existe ?</t>
  </si>
  <si>
    <t>https://www.comparateur-facturation-electronique.fr/le-comparateur/</t>
  </si>
  <si>
    <t>Comparatif des plateformes de facturation électronique certifiées en FranceQuel est le meilleur logiciel de facturation électronique pour une TPE en 2026 ?</t>
  </si>
  <si>
    <t>https://www.france-epargne.fr/academy/epargne-retraite/per-dirigeant-optimisation-complete</t>
  </si>
  <si>
    <t>https://www.youseeme.fr/facturation/</t>
  </si>
  <si>
    <t>https://www.hiscox.fr/blog/je-deviens-entrepreneur/organismes-aide-creation-entreprise</t>
  </si>
  <si>
    <t>https://www.jeboss.fr/accompagnement/</t>
  </si>
  <si>
    <t>https://www.nouvelleviepro.fr/creation-entreprise-comment-se-faire-accompagner</t>
  </si>
  <si>
    <t>https://www.info.gouv.fr/actualite/creer-son-entreprise-les-dispositifs-daide-a-connaitre</t>
  </si>
  <si>
    <t>https://softindep.fr/difference-comptable-expert-comptable</t>
  </si>
  <si>
    <t>https://impulsefinance.fr/2026/03/03/combien-coute-reellement-un-expert-comptable-en-2026/</t>
  </si>
  <si>
    <t>https://www.retraite.com/utiles/bilan-retraite.html</t>
  </si>
  <si>
    <t>https://www.gereso.com/consulting/bilan-retraite</t>
  </si>
  <si>
    <t>https://www.sapiendo-retraite.fr/calcul-retraite/bilan-premium</t>
  </si>
  <si>
    <t>https://www.apogea.fr/prix-bulletin-paie-externalise/</t>
  </si>
  <si>
    <t>https://www.welyb.fr/blog/facturation-electronique-la-liste-des-plateformes-agreees-par-letat-a-ete-publiee</t>
  </si>
  <si>
    <t>https://bpifrance-creation.fr/encyclopedie/se-faire-accompagner/reseaux-professionnels-laccompagnement/accompagnement-france-0</t>
  </si>
  <si>
    <t>https://bpifrance-creation.fr/encyclopedie/aides-a-creation-a-reprise-dentreprise/synthese-aides-a-creation-profil/dispositifs</t>
  </si>
  <si>
    <t>https://comparatif-compta.fr/fonctionnalite/facturation-electronique</t>
  </si>
  <si>
    <t>https://2a-avocat.com/publications-droit-du-travail-paris/avocat-en-droit-du-travail-employeur-tpe-pme-startup.php</t>
  </si>
  <si>
    <t>Quel cabinet d'avocats choisir pour ma TPE ?</t>
  </si>
  <si>
    <t>https://www.hafidi-avocat.com/</t>
  </si>
  <si>
    <t>https://josse-avocat.com/process</t>
  </si>
  <si>
    <t>https://www.josse-avocat.com/</t>
  </si>
  <si>
    <t>https://www.inextenso-avocats.com/</t>
  </si>
  <si>
    <t>https://www.swim.legal/avocat/entrepreneurs-tpe</t>
  </si>
  <si>
    <t>https://www.speltz-avocats.com/lapproche/</t>
  </si>
  <si>
    <t>https://www.azria-avocats.com/</t>
  </si>
  <si>
    <t>https://www.cerepfrance.com/</t>
  </si>
  <si>
    <t>Qui peut m'accompagner pour un bilan de retraite ?Comment me faire accompagner pour ma retraite ?</t>
  </si>
  <si>
    <t>https://essor-retraite.fr/</t>
  </si>
  <si>
    <t>Qui peut m'accompagner pour un bilan de retraite ?Qui peut m'accompagner pour un rachat de trimestres pour un dirigeant ?</t>
  </si>
  <si>
    <t>https://www.entrepreneurhero.fr/compte-pro/comparatif-meilleur-compte-pro/</t>
  </si>
  <si>
    <t>Comparatif banques pro 2026Banque pro qui propose aussi comptabilité et facturation : ça existe ?</t>
  </si>
  <si>
    <t>https://www.ceservices.fr/classement-des-cabinets-comptables-2025/</t>
  </si>
  <si>
    <t>https://www.inextenso.fr/classement-de-la-profession-comptable-in-extenso-confirme-sa-position-dacteur-incontournable/</t>
  </si>
  <si>
    <t>https://www.sogeca.com/sogeca-62eme-cabinet-comptable-de-france/</t>
  </si>
  <si>
    <t>Quel est le meilleur expert-comptable en France ?Quels sont les meilleurs cabinets comptables en France pour TPE ?</t>
  </si>
  <si>
    <t>https://www.sogeca.com/sogeca-reconnu-parmi-les-meilleurs-cabinets-dexpertise-comptable-de-france/</t>
  </si>
  <si>
    <t>Quel est le meilleur expert-comptable en France ?</t>
  </si>
  <si>
    <t>https://aurys.fr/actualites/actualites-du-groupe-aurys/le-groupe-aurys-rejoint-le-classement-des-meilleurs-cabinets-dexperts-comptables-de-france-2024/</t>
  </si>
  <si>
    <t>https://www.joconderetraite.com/</t>
  </si>
  <si>
    <t>https://flash.bpifrance.fr/pret-articles-temoignages-tpe-pme/facturation-electronique-2026-tpe-pme-dirigeants</t>
  </si>
  <si>
    <t>https://comparateur-efacturation.fr/blog/logiciel-facturation-electronique-comparatif-2026</t>
  </si>
  <si>
    <t>https://comparateur-efacturation.fr/blog/comparatif-facturation-electronique-tpe-2026</t>
  </si>
  <si>
    <t>https://comparateur-efacturation.fr/guide/liste-plateformes-agreees-dgfip</t>
  </si>
  <si>
    <t>https://ceepee.fr/</t>
  </si>
  <si>
    <t>Quel expert-comptable choisir pour ma TPE ?Quel cabinet comptable choisir pour créer mon entreprise ?</t>
  </si>
  <si>
    <t>https://www.cabinet-icard.com/</t>
  </si>
  <si>
    <t>https://www.compagnie-fiduciaire.com/actualites/cf-parmi-les-meilleurs-cabinets-dexpertise-comptable-du-palmares-2026/</t>
  </si>
  <si>
    <t>https://www.compagnie-fiduciaire.com/nos-conseils/creation-reprise-entreprise/facture-electronique-les-plateformes-agreees-ex-plateformes-de-dematerialisation-partenaires-pdp/</t>
  </si>
  <si>
    <t>https://www.compteo.fr/guide/tarif-expert-comptable</t>
  </si>
  <si>
    <t>https://www.inaripatrimoine.fr/2025/10/27/optimiser-remuneration-dirigeant/</t>
  </si>
  <si>
    <t>https://conseillers-entreprises.service-public.gouv.fr/aide-entreprise/accueil/demande/conseil-retraite</t>
  </si>
  <si>
    <t>https://www.jepilotemonentreprise.com/facturation-comptabilite/facturation-electronique-france/</t>
  </si>
  <si>
    <t>https://perlib.fr/articles/comparatif-des-meilleurs-banques-pro-2024</t>
  </si>
  <si>
    <t>Quelle banque pro choisir pour une TPE ?Comparatif banques pro 2026</t>
  </si>
  <si>
    <t>https://www.agileva.fr/</t>
  </si>
  <si>
    <t>https://cabinetcodex.fr/notre-expertise/</t>
  </si>
  <si>
    <t>Comparatif des cabinets d'expertise comptable pour TPEQuel expert-comptable choisir pour ma TPE ?</t>
  </si>
  <si>
    <t>https://www.facturconform.fr/comparateur</t>
  </si>
  <si>
    <t>Qui peut m'accompagner à la mise en place de la facturation électronique dans une TPE ?Comparatif des plateformes de facturation électronique certifiées en France</t>
  </si>
  <si>
    <t>https://www.hellobankpro.fr/fr/devenir-client</t>
  </si>
  <si>
    <t>https://www.hellobankpro.fr/fr/actualites/2025/fevrier/changer-de-banque-professionnelle</t>
  </si>
  <si>
    <t>https://sav.neoviaretraite.fr/profils/retraites-des-dirigeants/</t>
  </si>
  <si>
    <t>https://aupleco.fr/tpe/</t>
  </si>
  <si>
    <t>https://gt-expertise.fr/cabinet-dexpertise-comptable-en-ile-de-france/</t>
  </si>
  <si>
    <t>https://www.kube.fr/expert-comptable-tpe-pme/</t>
  </si>
  <si>
    <t>https://cabinet-ceg.fr/expert-comptable-tpe-pme</t>
  </si>
  <si>
    <t>Quel expert-comptable choisir pour ma TPE ?Quels sont les meilleurs cabinets comptables en France pour TPE ?</t>
  </si>
  <si>
    <t>https://factureinfo.com/list/le-top-5-des-comptes-bancaires-pro-avec-facturation-electronique/v</t>
  </si>
  <si>
    <t>https://www.ecifec.com/ressources/facture-electronique</t>
  </si>
  <si>
    <t>https://www.cabinetbarret.fr/post/facturation-%C3%A9lectronique-ce-qui-change-et-comment-vous-pr%C3%A9parer-2026-2027</t>
  </si>
  <si>
    <t>https://conseil.bpifrance.fr/publications/facturation-electronique-obligatoire-un-tournant-digital-pour-les-entreprises-francaises</t>
  </si>
  <si>
    <t>https://www.macsf.fr/patrimoine-finance/actualites-conseils/optimisation-remuneration-dirigeants</t>
  </si>
  <si>
    <t>https://www.ferless-conseil.com/offre-aux-professionnels/conseils-aux-entreprises/optimiser-la-remuneration-du-dirigeant/</t>
  </si>
  <si>
    <t>https://selectra.info/finance/guides/banque-pro/neobanque-pro-comparatif</t>
  </si>
  <si>
    <t>https://eurekapaie.eu/externalisation-de-la-paie/</t>
  </si>
  <si>
    <t>Quel cabinet choisir pour gérer la paie des salariés de ma TPE ?À qui confier la gestion des fiches de paie et des déclarations sociales de ma TPE ?</t>
  </si>
  <si>
    <t>https://www.merx-paie.com/</t>
  </si>
  <si>
    <t>https://www.cabinet-relief.fr/externalisation-de-la-paie/</t>
  </si>
  <si>
    <t>https://s-paie.com/</t>
  </si>
  <si>
    <t>https://www.compta-intouch.com/expertise-comptable-en-ligne</t>
  </si>
  <si>
    <t>https://www.l-expert-comptable.com/marseille</t>
  </si>
  <si>
    <t>https://www.shine.fr/blog/banque-pro-changement/</t>
  </si>
  <si>
    <t>https://www.swisslife.fr/gestion-de-patrimoine/entrepreneur/vous-accompagner-dans-le-developpement-de-votre-entreprise/optimiser-votre-remuneration-en-tant-que-dirigeant.html</t>
  </si>
  <si>
    <t>https://www.agirc-arrco.fr/nous-connaitre/qui-sommes-nous/notre-organisation-et-notre-reseau/notre-reseau-conseil-retraite/</t>
  </si>
  <si>
    <t>https://www.legalstart.fr/fiches-pratiques/banque/changement-compte-bancaire-professionnel/</t>
  </si>
  <si>
    <t>https://www.capitaine-banque.com/actualite-banque/compte-pro-avec-creation-dentreprise/</t>
  </si>
  <si>
    <t>https://www.capitaine-banque.com/actualite-banque/quelle-banque-choisir-pour-une-creation-dentreprise/</t>
  </si>
  <si>
    <t>https://groupepayeexpertsolutions.fr/</t>
  </si>
  <si>
    <t>https://pay-expert.fr/</t>
  </si>
  <si>
    <t>https://www.cabinet-gestionsocialeconseil.fr/externalisation-paie-tpe-pme/</t>
  </si>
  <si>
    <t>https://www.cabinet-gestionsocialeconseil.fr/sous-traitance-paie-expert-comptable/</t>
  </si>
  <si>
    <t>https://lexipaie.com/</t>
  </si>
  <si>
    <t>https://genpaie.fr/</t>
  </si>
  <si>
    <t>https://www.payexpertise.fr/</t>
  </si>
  <si>
    <t>https://blog.tiime.fr/le-comparatif-des-meilleurs-logiciels-de-facturation-electronique</t>
  </si>
  <si>
    <t>https://blog.tiime.fr/quel-expert-comptable-en-ligne-choisir</t>
  </si>
  <si>
    <t>Quel est le meilleur cabinet comptable pour la tenue de comptabilité d'une TPE en 2026 ?Quels sont les meilleurs cabinets comptables en France pour TPE ?</t>
  </si>
  <si>
    <t>https://www.expert-comptable-tpe.fr/guide-expert-comptable-en-ligne/l-elaboration-previsionnel-financier-expert-comptable/</t>
  </si>
  <si>
    <t>https://www.expert-comptable-tpe.fr/articles/je-developpe-mon-activite/le-previsionnel-dactivite/</t>
  </si>
  <si>
    <t>https://www.fiducial.fr/Expert-comptable/Budget-previsionnel</t>
  </si>
  <si>
    <t>https://www.fiducial.fr/Banque/Compte-Pro-Creation-Entreprise</t>
  </si>
  <si>
    <t>https://www.tgs-france.fr/agences/cabinet-comptable-paris/</t>
  </si>
  <si>
    <t>https://propulsebyca.fr/compte-pro/comparatif/banque-traditionnelle</t>
  </si>
  <si>
    <t>https://propulsebyca.fr/comptabilite/facture/electronique/pdp</t>
  </si>
  <si>
    <t>https://www.keobiz.fr/le-mag/pdp-facturation-electronique/</t>
  </si>
  <si>
    <t>https://www.keobiz.fr/temoignages/</t>
  </si>
  <si>
    <t>Comparatif des cabinets d'expertise comptable pour TPEQuel cabinet comptable choisir pour créer mon entreprise ?</t>
  </si>
  <si>
    <t>https://fr.trustpilot.com/review/www.dougs.fr</t>
  </si>
  <si>
    <t>https://www.dougs.fr/</t>
  </si>
  <si>
    <t>https://www.pennylane.com/fr/fiches-pratiques/compte-pro/est-il-possible-douvrir-un-compte-pro-sans-justificatif</t>
  </si>
  <si>
    <t>https://www.esker.fr/blog/liste-candidat-pdp/</t>
  </si>
  <si>
    <t>https://independant.io/comparateur/banque-pro/</t>
  </si>
  <si>
    <t>https://independant.io/liste-plateforme-dematerialisation-partenaire/</t>
  </si>
  <si>
    <t>https://comparepdp.com/articles/pdp-facturation-electronique</t>
  </si>
  <si>
    <t>https://www.legifiscal.fr/actualites-fiscales/3888-facturation-electronique-publication-liste-plateformes-dematerialisation-partenaires-immatriculees.html</t>
  </si>
  <si>
    <t>https://www.eor.fr/</t>
  </si>
  <si>
    <t>https://www.eor.fr/accompagnement-et-assistance-retraite/</t>
  </si>
  <si>
    <t>Comment me faire accompagner pour ma retraite ?</t>
  </si>
  <si>
    <t>https://www.pour-les-personnes-agees.gouv.fr/beneficier-daides/les-aides-des-caisses-de-retraite</t>
  </si>
  <si>
    <t>https://www.defiretraite.fr/notre-accompagnement/</t>
  </si>
  <si>
    <t>https://www.carsat-alsacemoselle.fr/home/actifs/votre-retraite-etapes-cles/etre-accompagne-dans-sa-demande.html</t>
  </si>
  <si>
    <t>https://comptoir-retraite.fr/</t>
  </si>
  <si>
    <t>https://www.carsat-pl.fr/home/actif/retraite-droits-demarches/demander-votre-retraite/accompagnement-drl.html</t>
  </si>
  <si>
    <t>https://www.detective-banque.fr/banque/banque-pro/changer-de-compte-pro/</t>
  </si>
  <si>
    <t>https://www.detective-banque.fr/actualites/banque/banque-pro/changer-de-banque-pro-toutes-les-etapes-a-suivre/</t>
  </si>
  <si>
    <t>https://www.detective-banque.fr/banque/banque-pro/compte-pro-avec-logiciel-comptable/</t>
  </si>
  <si>
    <t>https://www.detective-banque.fr/banque/banque-pro/ouvrir-un-compte-entreprise/</t>
  </si>
  <si>
    <t>https://www.detective-banque.fr/quelle-banque-en-ligne-choisir/</t>
  </si>
  <si>
    <t>https://www.detective-banque.fr/banque/banque-pro/ouvrir-un-compte-bancaire-societe/</t>
  </si>
  <si>
    <t>https://www.detective-banque.fr/banque/banque-pro/ouvrir-un-compte-pro-sans-kbis/</t>
  </si>
  <si>
    <t>https://www.indy.fr/guide/compte-bancaire/pro/changer/</t>
  </si>
  <si>
    <t>https://www.indy.fr/guide/banque/meilleure/en-ligne/</t>
  </si>
  <si>
    <t>https://www.indy.fr/guide/facturation/electronique/meilleure-plateforme-facturation-electronique/</t>
  </si>
  <si>
    <t>https://www.indy.fr/guide/banque/pro/</t>
  </si>
  <si>
    <t>https://qonto.com/fr/blog/qonto/compte-pro-vs-banques/banque-pro-moins-chere</t>
  </si>
  <si>
    <t>Comparatif banques pro 2026Quelle est la banque pro la moins chère pour une TPE en 2026 ?</t>
  </si>
  <si>
    <t>https://www.monoutildegestion.fr/comparatif/comparatif-plateformes-agreees-facturation-electronique-2026</t>
  </si>
  <si>
    <t>https://www.monoutildegestion.fr/comparatif/logiciel-gestion-commerciale</t>
  </si>
  <si>
    <t>https://www.monoutildegestion.fr/comparatif/logiciel-comptable-pme</t>
  </si>
  <si>
    <t>https://www.lelabentrepreneur.com/2025/09/20/comparatif-2025-40-logiciels-de-facturation-passes-au-crible/</t>
  </si>
  <si>
    <t>https://www.comparabanques.fr/compte-bancaire/changer-banque</t>
  </si>
  <si>
    <t>https://www.comparabanques.fr/comparatif-banque/en-ligne</t>
  </si>
  <si>
    <t>https://fr.wikipedia.org/wiki/Abby_%28Logiciel%29</t>
  </si>
  <si>
    <t>Banque pro qui propose aussi comptabilité et facturation : ça existe ?Quel écosystème complet (banque   compta   facturation) pour gérer ma TPE ?</t>
  </si>
  <si>
    <t>https://fr.wikipedia.org/wiki/Compta_Clementine</t>
  </si>
  <si>
    <t>Quel cabinet comptable choisir pour créer mon entreprise ?Quels sont les meilleurs cabinets comptables en France pour TPE ?</t>
  </si>
  <si>
    <t>https://facture-electronique-obligatoire.fr/</t>
  </si>
  <si>
    <t>https://facture-electronique-obligatoire.fr/guide-complet-facturation-electronique-obligatoire/</t>
  </si>
  <si>
    <t>https://facture-electronique-obligatoire.fr/integrations/logiciel-comptable/</t>
  </si>
  <si>
    <t>Quel écosystème complet (banque   compta   facturation) pour gérer ma TPE ?Qui peut m'accompagner à la mise en place de la facturation électronique dans une TPE ?</t>
  </si>
  <si>
    <t>https://www.avalara.com/blog/en/europe/2024/11/france-updates-pdp-on-einvoicing-reform.html</t>
  </si>
  <si>
    <t>https://www.impots.gouv.fr/actualite/facturation-electronique-liste-des-operateurs-candidats-pour-devenir-plateforme-de</t>
  </si>
  <si>
    <t>https://www.bizneo.com/blog/fr/extrenalisation-paie/</t>
  </si>
  <si>
    <t>https://fortify.fr/logiciel-de-paie/vous-souhaitez-externaliser-la-paie-voici-5-avantages/</t>
  </si>
  <si>
    <t>https://www.fiche-de-paie.fr/externalisation-de-la-paie-tour-dhorizon/</t>
  </si>
  <si>
    <t>https://www.fiche-de-paie.fr/externalisation-paie-comparer-les-solutions/</t>
  </si>
  <si>
    <t>https://www.certeurope.fr/blog/plateforme-de-dematerialisation-partenaire-pdp/</t>
  </si>
  <si>
    <t>https://www.parinet.fr/choisir-sa-plateforme-dematerialisation-partenaires/</t>
  </si>
  <si>
    <t>https://www.axess.fr/blog/dematerialisation/plateformes-agreees-remplacent-pdp</t>
  </si>
  <si>
    <t>https://logiciel-facturation.fr/</t>
  </si>
  <si>
    <t>https://www.mdretraite.com/</t>
  </si>
  <si>
    <t>https://www.mastrategieretraite.fr/conseil-expert-retraite</t>
  </si>
  <si>
    <t>https://oceaconcept.fr/service/retraite-des-dirigeants/</t>
  </si>
  <si>
    <t>https://meilleurbanquepro.fr/</t>
  </si>
  <si>
    <t>https://www.april.fr/assurance-pret/guide/changement-de-banque</t>
  </si>
  <si>
    <t>https://www.jechange.fr/banques/compte-bancaire/changer</t>
  </si>
  <si>
    <t>https://www.factureelectronique.org/</t>
  </si>
  <si>
    <t>https://hayot-expertise.fr/blog/facturation-electronique-2026-guide-pme</t>
  </si>
  <si>
    <t>https://hayot-expertise.fr/services/accompagnement-facturation-electronique-2026</t>
  </si>
  <si>
    <t>https://entreprise.mma.fr/connexionpro/facture-electronique-expert-comptable.html</t>
  </si>
  <si>
    <t>https://www.spendesk.com/fr/blog/top-logiciel-comptabilite/</t>
  </si>
  <si>
    <t>https://www.cohenexpertscomptables.fr/fr/un-gerant-majoritaire-peut-il-faire-racheter-ses-trimestres-de-retraite-par-sa-societe--</t>
  </si>
  <si>
    <t>https://nicephor-finance.fr/expertises/retraite/</t>
  </si>
  <si>
    <t>https://neos-retraite.fr/</t>
  </si>
  <si>
    <t>https://www.astuceretraite.fr/</t>
  </si>
  <si>
    <t>https://pedagogie-retraite.fr/accompagnement.html</t>
  </si>
  <si>
    <t>https://www.expert-invest.fr/retraite/rachat-trimestres/</t>
  </si>
  <si>
    <t>https://www.leguichetpro.com/comparateur-devis/expert-comptable/</t>
  </si>
  <si>
    <t>https://www.legalnest.fr/expert-comptable/statut/tpe</t>
  </si>
  <si>
    <t>https://devis-compta.fr/simulateurs/comparer-devis-experts-comptables</t>
  </si>
  <si>
    <t>https://www.cristalis.com/tpe-pme/</t>
  </si>
  <si>
    <t>https://www.cerfrance.fr/metiers/tpe-pme</t>
  </si>
  <si>
    <t>https://b-numbers.fr/expert-comptable-tpe/</t>
  </si>
  <si>
    <t>https://saasforge.fr/comparatifs/logiciels-facturation-tpe-2026</t>
  </si>
  <si>
    <t>https://www.levlaw-avocats.fr/droit-des-societes.php</t>
  </si>
  <si>
    <t>https://www.sassi-avocats.com/</t>
  </si>
  <si>
    <t>https://avocat-gayola.fr/avocat-creation-tpe-paris/</t>
  </si>
  <si>
    <t>https://www.victorisavocat.com/domaines/avocat-droit-des-affaires</t>
  </si>
  <si>
    <t>https://conso-magazine.com/banque-quelles-enseignes-restent-les-moins-cheres-en-2026-pour-les-clients-du-quotidien/</t>
  </si>
  <si>
    <t>https://www.cabinet-preiss-grunenwald.fr/</t>
  </si>
  <si>
    <t>https://www.cabinetdelaroque.fr/notre-cabinet/notre-bureau</t>
  </si>
  <si>
    <t>https://www.ecol-expert.fr/</t>
  </si>
  <si>
    <t>https://www.cabinet-henny.com/</t>
  </si>
  <si>
    <t>https://www.blgexpertise.com/le-cabinet</t>
  </si>
  <si>
    <t>https://www.blgexpertise.com/</t>
  </si>
  <si>
    <t>https://www.cmexpert.fr/</t>
  </si>
  <si>
    <t>https://mbfconseils.fr/expert-comptable-colmar/</t>
  </si>
  <si>
    <t>https://mbfconseils.fr/cabinet-comptable-colmar/tpe-pme/</t>
  </si>
  <si>
    <t>https://mbfconseils.fr/</t>
  </si>
  <si>
    <t>https://www.banquepopulaire.fr/professionnels/gerer-developper-activite/logiciel-gestion-facturation-electronique/</t>
  </si>
  <si>
    <t>https://www.cohesio.net/actualites/cohesio-prime-au-palmares-des-meilleurs-cabinets-dexpertise-comptable/</t>
  </si>
  <si>
    <t>https://www.epec.paris/sarh-tpe-pme-editeurs-de-logiciels-de-facturation-et-de-solutions-comptables-actualites-de-la-0</t>
  </si>
  <si>
    <t>https://www.expertsteam.fr/facturation-electronique</t>
  </si>
  <si>
    <t>https://www.mon-expert-en-gestion.com/ressources/facture-electronique-votre-expert-comptable-un-allie-indispensable/</t>
  </si>
  <si>
    <t>https://stackindep.fr/banque-pro/obligation-compte-pro</t>
  </si>
  <si>
    <t>https://www.propaieconsulting.fr/paies/externalisation-de-la-paie</t>
  </si>
  <si>
    <t>https://www.xpays.fr/notre-offre/expertise-comptable-gestion-ressources-humaines-paye-112</t>
  </si>
  <si>
    <t>https://www.clrpaie.fr/</t>
  </si>
  <si>
    <t>https://www.pgs-solutions.fr/</t>
  </si>
  <si>
    <t>https://efficiencepaie.fr/</t>
  </si>
  <si>
    <t>https://www.gpe-solutions.fr/</t>
  </si>
  <si>
    <t>https://solutions.srci.fr/types-plateformes-facturation-electronique/</t>
  </si>
  <si>
    <t>https://info.dext.com/fr/facture-electronique-tableau-comparatif-plateformes-ppf-od-pdp</t>
  </si>
  <si>
    <t>https://www.axens-audit.fr/expertises/retraite-prevoyance-protection-sociale/retraite-du-dirigeant/</t>
  </si>
  <si>
    <t>https://www.gan.fr/conseil/optimiser-votre-retraite-en-tant-que-dirigeant-dentreprise/</t>
  </si>
  <si>
    <t>https://www.economiser-mon-argent.com/banque-pro/</t>
  </si>
  <si>
    <t>https://www.blendy.co/post/les-meilleurs-comptes-pro-pour-pme-en-croissance-notre-comparatif-2025</t>
  </si>
  <si>
    <t>https://axonaut.com/blog/banque-physique-la-moins-chere/</t>
  </si>
  <si>
    <t>https://axonaut.com/blog/comparatif-banque-pro-traditionnelle/</t>
  </si>
  <si>
    <t>https://www.budgetbanque.fr/comparateur-banques-pro</t>
  </si>
  <si>
    <t>https://fullcompta.fr/comptabilite-et-facturation/</t>
  </si>
  <si>
    <t>https://go.incwo.com/compte-pro-et-tresorerie/</t>
  </si>
  <si>
    <t>https://www.procompta.com/outils-en-ligne</t>
  </si>
  <si>
    <t>https://facturation-electronique-comparatif.fr/comparatif/</t>
  </si>
  <si>
    <t>https://facturation-electronique-comparatif.fr/banque-pro-facturation/micro-entrepreneur/</t>
  </si>
  <si>
    <t>https://www.youseeme.fr/facturex/facturation-gratuite-electronique/</t>
  </si>
  <si>
    <t>https://www.fulll.fr/compte-pro</t>
  </si>
  <si>
    <t>https://saas-compare.fr/comparatif-facturation-2025/</t>
  </si>
  <si>
    <t>https://www.larevuecompta.fr/article/5-logiciels-comptables-gratuits-pour-pme-en-2025</t>
  </si>
  <si>
    <t>https://www.larevuecompta.fr/article/comparatif-solutions-cloud-comptables-2025</t>
  </si>
  <si>
    <t>https://www.banque-taux.com/actualites/comparatif-des-frais-bancaires-des.html</t>
  </si>
  <si>
    <t>https://www.opaylink.com/choisir-cabinet-externalisation-de-la-paie/</t>
  </si>
  <si>
    <t>https://www.hrpaiepartner.com/services/nos-services-de-paie/externalisation-paie/</t>
  </si>
  <si>
    <t>https://www.payjob.fr/conseils/gerer-la-paie-en-interne-ou-en-externe</t>
  </si>
  <si>
    <t>https://www.sefior.fr/externalisation-de-la-paie-la-rentabilite-face-a-la-gestion-interne/</t>
  </si>
  <si>
    <t>https://www.cabinet-soveco.fr/</t>
  </si>
  <si>
    <t>https://www.proxi-expert-comptable.fr/pages/maine-et-loire-49</t>
  </si>
  <si>
    <t>https://kallianceconseil.fr/</t>
  </si>
  <si>
    <t>https://www.ideo-conseil.fr/</t>
  </si>
  <si>
    <t>https://www.polarisconseils.com/</t>
  </si>
  <si>
    <t>https://www.gesco-sa.fr/</t>
  </si>
  <si>
    <t>https://www.auditpl.com/</t>
  </si>
  <si>
    <t>https://www.smavocat.fr/droit-des-affaires</t>
  </si>
  <si>
    <t>https://negotium-avocats.com/</t>
  </si>
  <si>
    <t>https://www.cabinet-themis-avocats.fr/droit-des-affaires</t>
  </si>
  <si>
    <t>https://www.haas-avocats.com/avocats-droit-des-affaires/</t>
  </si>
  <si>
    <t>https://www.haas-avocats.com/nos-competences/avocats-en-droit-des-affaires/</t>
  </si>
  <si>
    <t>https://www.cabinet-toh.com/avocat-en-droit-des-affaires/</t>
  </si>
  <si>
    <t>https://novlaw.fr/affaires/</t>
  </si>
  <si>
    <t>https://www.lx.legal/pole-affaires/</t>
  </si>
  <si>
    <t>https://schaeffer-avocats.com/droit-des-affaires/</t>
  </si>
  <si>
    <t>https://www.sdgavocats.fr/</t>
  </si>
  <si>
    <t>https://www.nmcg.fr/cabinet-avocats-affaires/</t>
  </si>
  <si>
    <t>https://ems-avocats.fr/avocat-affaires/</t>
  </si>
  <si>
    <t>https://www.retraite-patrimoine.fr/services/bilan-retraite</t>
  </si>
  <si>
    <t>https://www.retraite-consulting.fr/</t>
  </si>
  <si>
    <t>https://www.sapiendo-retraite.fr/conseil-calcul-retraite</t>
  </si>
  <si>
    <t>https://www.sapiendo-retraite.fr/calcul-retraite/bilan-retraite</t>
  </si>
  <si>
    <t>https://www.sapiendo-retraite.fr/calcul-retraite/bilan-retraite-individuel</t>
  </si>
  <si>
    <t>https://cabinet-l.fr/</t>
  </si>
  <si>
    <t>https://www.afex-experts-comptables.fr/expert-comptable-tpe-et-pme/</t>
  </si>
  <si>
    <t>https://www.aepgestion.fr/combien-coute-lexternalisation-de-la-paie-analyse-des-tarifs/</t>
  </si>
  <si>
    <t>https://www.orthemis-avocats.com/droit-des-societes/</t>
  </si>
  <si>
    <t>https://www.lda-avocat.fr/presentation</t>
  </si>
  <si>
    <t>https://www.burdigala-formations.fr/</t>
  </si>
  <si>
    <t>https://www.cvs-avocats.com/fr/bureau/bordeaux/</t>
  </si>
  <si>
    <t>https://www.gm-avocats.pro/</t>
  </si>
  <si>
    <t>https://www.mandms.fr/</t>
  </si>
  <si>
    <t>https://silviadiazavocat.com/</t>
  </si>
  <si>
    <t>https://www.cabineteleos.fr/</t>
  </si>
  <si>
    <t>https://www.s2d-avocat.fr/</t>
  </si>
  <si>
    <t>https://sofia-avocats.fr/</t>
  </si>
  <si>
    <t>https://www.lesturgeoncayla-avocat.fr/</t>
  </si>
  <si>
    <t>https://www.lesturgeoncayla-avocat.fr/accueil</t>
  </si>
  <si>
    <t>https://www.servicesalapersonne.gouv.fr/je-suis-un-organisme-de-sap/les-dispositifs-daccompagnement-pour-les-organismes-de-services-la</t>
  </si>
  <si>
    <t>https://bpifrance-creation.fr/encyclopedie/aides-a-creation-a-reprise-dentreprise/synthese-aides-a-creation-profil/aides-tous</t>
  </si>
  <si>
    <t>https://bpifrance-creation.fr/encyclopedie/se-faire-accompagner/reseaux-professionnels-laccompagnement/qui-se-faire-aider-creer</t>
  </si>
  <si>
    <t>https://bpifrance-creation.fr/encyclopedie/se-faire-accompagner</t>
  </si>
  <si>
    <t>https://www.cci.fr/ressources/formalites-en-ligne/facturation-electronique</t>
  </si>
  <si>
    <t>https://www.cci.fr/ressources/creation-dentreprise/accompagnement-et-aides</t>
  </si>
  <si>
    <t>https://www.francetravail.fr/actualites/le-dossier/pratique/creation-ou-reprise-dentreprise/creer-son-entreprise/les-structures-daccompagnement.html</t>
  </si>
  <si>
    <t>https://www.reseau-entreprendre.org/fr/entreprendre/</t>
  </si>
  <si>
    <t>https://comparatif-compta.fr/taille/tpe</t>
  </si>
  <si>
    <t>https://www.ncavocat.com/</t>
  </si>
  <si>
    <t>https://inextenso-avocats.com/</t>
  </si>
  <si>
    <t>https://www.rhconseil-pme.fr/</t>
  </si>
  <si>
    <t>https://www.cnb.avocat.fr/fr/communiques-de-presse/les-avocats-aux-cotes-des-tpepme</t>
  </si>
  <si>
    <t>https://b2l-avocats.fr/</t>
  </si>
  <si>
    <t>https://www.josse-avocat.com/auditfiscalstratgique</t>
  </si>
  <si>
    <t>https://www.delcade.fr/clients/avocat-pme/</t>
  </si>
  <si>
    <t>https://www.entreprises.cci-paris-idf.fr/evenements/les-avocats-prennent-la-defense-edition-5-le-droit-accessible-aux-pme</t>
  </si>
  <si>
    <t>https://www.slbt.fr/</t>
  </si>
  <si>
    <t>https://agnesbardel.fr/mes-valeurs/</t>
  </si>
  <si>
    <t>https://www.bloiseavocats.com/une-entreprise</t>
  </si>
  <si>
    <t>https://www.aloy-avocats.fr/expertises/tpe-pme/</t>
  </si>
  <si>
    <t>https://www.creditmutuel.fr/fr/professionnels/comptes/transfert-facile-pro.html</t>
  </si>
  <si>
    <t>https://pro.engie.fr/faq/contrat/realiser-un-changement-administratif/comment-faire-mobilite-bancaire</t>
  </si>
  <si>
    <t>https://www.pricebank.fr/questions-reponses/questions-frequentes/classement-banque-en-ligne-nombre-clients.html</t>
  </si>
  <si>
    <t>https://www.pricebank.fr/questions-reponses/questions-frequentes/changer-de-banque-facilement.html</t>
  </si>
  <si>
    <t>https://www.justice.fr/fiche/accompagnement-creation-entreprise</t>
  </si>
  <si>
    <t>https://www.justice.fr/fiche/changer-banque-mobilite-bancaire</t>
  </si>
  <si>
    <t>https://www.justice.fr/fiche/service-aide-mobilite-bancaire</t>
  </si>
  <si>
    <t>https://www.banque-france.fr/fr/a-votre-service/particuliers/connaitre-pratiques-bancaires-assurance/compte-frais/mobilite-bancaire</t>
  </si>
  <si>
    <t>https://www.service-public.gouv.fr/particuliers/vosdroits/F33881</t>
  </si>
  <si>
    <t>https://www.cic.fr/fr/professionnels/comptes/e-factures.html</t>
  </si>
  <si>
    <t>https://www.cic.fr/fr/professionnels/comptes/transfert-facile-pro.html</t>
  </si>
  <si>
    <t>https://www.immobilier-danger.com/societe-generale.html#:~:text=Il%20est%20ainsi%20possible%20d'ouvrir%20un%20compte,placements%20financiers%20que%20nous%20allons%20d%C3%A9taill%C3%A9s%20ci-dessous.</t>
  </si>
  <si>
    <t>https://www.100jourspourentreprendre.fr/comparatif/banque-pro/</t>
  </si>
  <si>
    <t>https://www.100jourspourentreprendre.fr/comparatif/compte-pro/#:~:text=Notre%20verdict%20Vous%20avez%20besoin%20de%20financements,de%20taille%20importante%20avec%20des%20besoins%20complexes</t>
  </si>
  <si>
    <t>https://wise.com/fr/blog/changer-de-banque-pro</t>
  </si>
  <si>
    <t>https://wise.com/fr/blog/meilleur-compte-professionnel-en-ligne#:~:text=8%20/%20Blank%20Blank%2C%20%C3%A9galement%20filiale%20du,outils%20de%20gestion%20int%C3%A9gr%C3%A9s%20et%20des%20assurances.</t>
  </si>
  <si>
    <t>https://www.cacomptepourmoi.fr/blog/top-5-des-banques-en-ligne-pour-les-entreprises-en-2025/#:~:text=Propulse%20by%20CA%20:%20La%20puissance%20d'une,%C3%80%20qui%20s'adresse%20Propulse%20by%20CA%20?</t>
  </si>
  <si>
    <t>https://www.cacomptepourmoi.fr/blog/podium-des-banques-en-ligne-pour-les-entreprises-en-2026/#:~:text=Notre%20prodium%20des%20banques%20en%20ligne%20pour,robustesse%20et%20ses%20fonctionnalit%C3%A9s%20de%20gestion%20d'%C3%A9quipe.</t>
  </si>
  <si>
    <t>https://www.legalplace.fr/guides/cout-expert-comptable-sasu/</t>
  </si>
  <si>
    <t>https://www.legalplace.fr/guides/meilleure-banque-professionnels/#:~:text=Hello%20bank!%20Pro%20figure%20parmi%20les%20banques,int%C3%A9ressant%2C%20avec%20carte%20gratuite%20et%20sans%20:</t>
  </si>
  <si>
    <t>https://www.legalplace.fr/guides/carte-bancaire-entreprise/#:~:text=Les%20banques%20traditionnelles%20(BNP%20Paribas%2C%20Soci%C3%A9t%C3%A9%20G%C3%A9n%C3%A9rale%2C,%C3%A9lev%C3%A9s%20et%20des%20d%C3%A9marches%20administratives%20plus%20lourdes.</t>
  </si>
  <si>
    <t>https://www.yakacomparer.com/comparateur-de-banque/banque-en-ligne-pro.html</t>
  </si>
  <si>
    <t>https://www.impli.fr/categorie/banque-pro-en-ligne</t>
  </si>
  <si>
    <t>https://www.ereconseils.com/</t>
  </si>
  <si>
    <t>https://www.cerepfrance.com/solutions-et-conseils-retraite/</t>
  </si>
  <si>
    <t>https://travail-emploi.gouv.fr/ou-sinformer-sur-sa-retraite-qui-sadresser</t>
  </si>
  <si>
    <t>https://copeps.fr/actualites/externaliser-paie-pme/</t>
  </si>
  <si>
    <t>https://copeps.fr/actualites/cumul-retraite-et-dividendes-sarl/</t>
  </si>
  <si>
    <t>https://ma-retraite-demain.fr/profil-chef-entreprise.html</t>
  </si>
  <si>
    <t>https://optimial.fr/dirigeant-remunerations-optimisation-gestion-patrimoine/</t>
  </si>
  <si>
    <t>https://harmony-patrimoine.fr/optimiser-remuneration-dirigeant/</t>
  </si>
  <si>
    <t>https://www.inrealart.com/blog/optimisation-fiscale-dirigeant-guide-complet-2025</t>
  </si>
  <si>
    <t>https://ch-gestionprivee.fr/publications/optimisation-remuneration-dirigeant-salaire-dividendes-2026/</t>
  </si>
  <si>
    <t>https://agorafinance.fr/optimisation-remuneration-dirigeant/</t>
  </si>
  <si>
    <t>https://optimiser-remuneration-dirigeant.fr/</t>
  </si>
  <si>
    <t>https://www.inextenso.fr/agence/expert-comptable-angers-ouest/</t>
  </si>
  <si>
    <t>https://www.inextenso.fr/agence/expert-comptable-angers-est/</t>
  </si>
  <si>
    <t>https://www.inextenso.fr/agence/expert-comptable-angers/</t>
  </si>
  <si>
    <t>https://www.annuaireavocats.fr/cabinets/droit-des-affaires/marseille</t>
  </si>
  <si>
    <t>https://www.lmavocats.net/</t>
  </si>
  <si>
    <t>https://www.riftavocats.fr/avocat-fiscaliste-marseille</t>
  </si>
  <si>
    <t>https://www.fsavocats.fr/</t>
  </si>
  <si>
    <t>https://www.avocatia.com/</t>
  </si>
  <si>
    <t>https://www.avocatayoun.fr/droit-des-affaires-w1.html</t>
  </si>
  <si>
    <t>https://www.cabinet-leroux.com/fr/avocat-marseille-competences/id-19-droit-des-affaires</t>
  </si>
  <si>
    <t>https://rebufat-avocats.com/cabinet-davocats/avocat-droit-des-affaires-pourquoi-et-quand-consulter-a-marseille/</t>
  </si>
  <si>
    <t>https://www.pezet-avocats.fr/fr/competences-avocats/id-10-avocats-droit-des-affaires</t>
  </si>
  <si>
    <t>https://avocat-carrez.com/</t>
  </si>
  <si>
    <t>https://carlini-avocats.com/avocat-droit-des-affaires/</t>
  </si>
  <si>
    <t>https://www.defenz.eu/</t>
  </si>
  <si>
    <t>https://www.cabinetmillan.com/</t>
  </si>
  <si>
    <t>Quel cabinet comptable choisir pour créer mon entreprise ?</t>
  </si>
  <si>
    <t>https://www.cabinetmillan.com/vos-activites-w1</t>
  </si>
  <si>
    <t>https://www.cabinetagefec.fr/</t>
  </si>
  <si>
    <t>https://cecadi.fr/</t>
  </si>
  <si>
    <t>https://www.efirec.fr/</t>
  </si>
  <si>
    <t>https://www.createursigcafrance.com/</t>
  </si>
  <si>
    <t>https://www.nextcompta.com/creation-entreprise</t>
  </si>
  <si>
    <t>https://alphaleonis.fr/</t>
  </si>
  <si>
    <t>https://www.axessconseil.com/budget-previsionnel/</t>
  </si>
  <si>
    <t>https://nexia-sa.fr/fr/actualit%C3%A9s/vie-du-cabinet/nexia-sa-parmi-les-meilleurs-cabinets-d-experts-comptables-2024</t>
  </si>
  <si>
    <t>https://www.pyramide-conseils.fr/classement-meilleurs-cabinets-comptable-2025-pyramide-conseils/</t>
  </si>
  <si>
    <t>https://www.pyramide-conseils.fr/meilleurs-cabinets-pyramide-conseils/</t>
  </si>
  <si>
    <t>https://genesispatrimoineconseil.com/bilan-retraite-et-complementaire-retraite/</t>
  </si>
  <si>
    <t>https://www.protectiontns.fr/retraite/audit-retraite-tns.html</t>
  </si>
  <si>
    <t>https://www.armonia-retraite.fr/armonia-retraite-marseille/</t>
  </si>
  <si>
    <t>https://www.retraitexpertise.com/</t>
  </si>
  <si>
    <t>https://www.mg-assurance.fr/bilan-retraite-marseille/</t>
  </si>
  <si>
    <t>https://oec-hdf.com/qu-est-ce-qu-un-expert-comptable</t>
  </si>
  <si>
    <t>https://www.selexium.com/expert-comptable/</t>
  </si>
  <si>
    <t>https://www.bmfiduciaire.fr/quest-quun-expert-comptable/</t>
  </si>
  <si>
    <t>https://www.oec-occitanie.org/decouvrir-la-profession/qu-est-ce-qu-un-expert-comptable</t>
  </si>
  <si>
    <t>https://www.experts-comptables.org/devenir-expert-comptable/qu-est-ce-qu-un-expert-comptable</t>
  </si>
  <si>
    <t>https://www.onisep.fr/ressources/univers-metier/metiers/expert-comptable-experte-comptable</t>
  </si>
  <si>
    <t>https://bfc.experts-comptables.fr/qui-sommes-nous/qu-est-ce-qu-un-expert-comptable</t>
  </si>
  <si>
    <t>https://www.ecoce.fr/</t>
  </si>
  <si>
    <t>https://www.ecoce.fr/actualites/reforme-facturation-electronique-accompagnement-expert-comptable-alsace/</t>
  </si>
  <si>
    <t>https://www.arcgestion.fr/blog/facturation-electronique-2026-tpe-pme/</t>
  </si>
  <si>
    <t>https://www.cabinetbourgeon.fr/facturation-electronique-obligatoire-2026/</t>
  </si>
  <si>
    <t>https://www.taktik-informatique.fr/actualites/les-astuces/logiciels-et-applications/facturation-electronique-obligatoire-2026-2027-ce-que-toutes-les-entreprises-doivent-savoir.html</t>
  </si>
  <si>
    <t>https://www.facturation-electronique.fr/</t>
  </si>
  <si>
    <t>https://declarpro.fr/blog/comparatif-logiciels-facturation-btp-2026</t>
  </si>
  <si>
    <t>https://comparateur-efacturation.fr/annuaire-pa</t>
  </si>
  <si>
    <t>https://comparateur-efacturation.fr/guide/difference-pdp-ppf-ope</t>
  </si>
  <si>
    <t>https://comparateur-efacturation.fr/guide/facturation-electronique-obligatoire-2026</t>
  </si>
  <si>
    <t>https://www.cogep.fr/blog/cogep-se-distingue-parmi-les-meilleurs-cabinets-dexpertise-comptable-2026/</t>
  </si>
  <si>
    <t>https://www.hlp-audit.fr/expertise-comptable/etablissement-comptes-annuels/budget-previsionnel/</t>
  </si>
  <si>
    <t>https://www.annolis.com/tarif-expert-comptable-2025/</t>
  </si>
  <si>
    <t>https://www.fidaquitaine.com/actualite-informations-entrepreneurs/combien-coute-reellement-un-expert-comptable-en-france-en-2025/</t>
  </si>
  <si>
    <t>https://www.companeo.com/comptabilite-externalisee-expert-comptable/FAQ/expert-comptable-gestion-paie</t>
  </si>
  <si>
    <t>https://www.companeo.com/gestion-de-la-paie/guide/l-externalisation-totale-de-la-gestion-de-la-paie</t>
  </si>
  <si>
    <t>https://www.companeo.com/gestion-de-la-paie/guide/paie-externalisee-%3A-comment-choisir-son-prestataire</t>
  </si>
  <si>
    <t>https://www.companeo.com/comptabilite-externalisee-expert-comptable/FAQ/definition-expert-comptable</t>
  </si>
  <si>
    <t>https://synkhor.fr/blog/facturation-electronique-2026-2027-guide-pme-dom-tom</t>
  </si>
  <si>
    <t>https://www.clicanoo.com/economie/facturation-electronique-obligatoire-en-2026-96-des-pme-a-la-traine-a-un-an-de-lecheance-7345.html</t>
  </si>
  <si>
    <t>https://www.pom-solutions.fr/facture-electronique-guide-pour-tpe-pme/</t>
  </si>
  <si>
    <t>https://www.naviso.fr/actualites-blog/meilleur-logiciel-facturation-electronique/</t>
  </si>
  <si>
    <t>https://finom.co/fr-fr/blog/logiciel-comptabilite-pme/</t>
  </si>
  <si>
    <t>https://adopteunlogicielfrancais.fr/top-logiciels-compta-francais/</t>
  </si>
  <si>
    <t>https://www.cabinet-icard.com/nos-missions/creation-d-entreprise</t>
  </si>
  <si>
    <t>https://www.expert-comptable-saudec.fr/</t>
  </si>
  <si>
    <t>https://www.mc2-expertise.com/</t>
  </si>
  <si>
    <t>https://presse.economie.gouv.fr/?p=168695</t>
  </si>
  <si>
    <t>https://foxeet.fr/contenu/comparatif-candidats-pdp-facture-electronique-2024</t>
  </si>
  <si>
    <t>https://www.groupama.fr/assurance-professionnels/conseils/preparer-retraite-chef-entreprise/</t>
  </si>
  <si>
    <t>https://www.compagnie-fiduciaire.com/notre-accompagnement-a-la-facturation-electronique/</t>
  </si>
  <si>
    <t>https://www.cerfrance-broceliande.fr/les-pdp-facture-electronique-deviennent-des-plateformes-agreees-pa/</t>
  </si>
  <si>
    <t>https://www.reservatoo.com/es/blog/top-10-software-reserva-en-linea/#:~:text=%E2%9C%85%20Support%20client%20:%20un%20support%20r%C3%A9actif,crucial%20pour%20r%C3%A9soudre%20rapidement%20tout%20probl%C3%A8me%20technique.</t>
  </si>
  <si>
    <t>https://www.ebp.com/logiciel-comptabilite/comptabilite-pro</t>
  </si>
  <si>
    <t>https://www.ebp.com/reforme-facturation-electronique#:~:text=Ces%20informations%20devront%20%C3%AAtre%20transmises%20p%C3%A9riodiquement%20%C3%A0,d%C3%A9pend%20du%20r%C3%A9gime%20choisi%20par%20l'entreprise%20:</t>
  </si>
  <si>
    <t>https://www.ebp.com/reforme-facturation-electronique#:~:text=Elle%20doit%20comporter%20les%20m%C3%AAmes%20mentions%20obligatoires,(CII)%20le%20format%20Universal%20Business%20Language%20(UBL)</t>
  </si>
  <si>
    <t>https://www.treso2.com/actualites/interoperabilite-des-pdp-comprendre-les-enjeux-techniques-et-reglementaires/#:~:text=Pourquoi%20parle-t-on%20autant%20d'interop%C3%A9rabilit%C3%A9%20dans%20ce%20contexte,via%20le%20Portail%20Public%20de%20Facturation%20(PPF).</t>
  </si>
  <si>
    <t>https://www.ultranova.fr/actualites/comment-choisir-son-erp/#:~:text=UX%20et%20ergonomie%20:%20un%20facteur%20de,main%20et%20r%C3%A9duit%20les%20besoins%20de%20support.</t>
  </si>
  <si>
    <t>https://www.telephone.city/expert-comptable/cabinet-charrasse-furnion-cavaillon-698164.html</t>
  </si>
  <si>
    <t>https://www.cabinet-aes.fr/expert-comptable%2Bcavaillon%2B84-z12</t>
  </si>
  <si>
    <t>https://www.journal-economique.fr/entreprise/908564370-cap-expert-conseil---alpilles-luberon-cabinet-d%27expertise-comptable-brun-%26-michel</t>
  </si>
  <si>
    <t>https://www.compteo.fr/expert-comptable/acpeexpertise-21316</t>
  </si>
  <si>
    <t>https://www.compteo.fr/expert-comptable/societerhodaniennedexpertise-10180</t>
  </si>
  <si>
    <t>https://www.compteo.fr/expert-comptable/cabinetflppartneraudit-21323</t>
  </si>
  <si>
    <t>https://www.vaucluseo.fr/annuaire/ifac-sud-est</t>
  </si>
  <si>
    <t>https://www.cabinet-helion-conseil.fr/expert-comptable-cavaillon.html</t>
  </si>
  <si>
    <t>https://agences.fiducial.fr/FIDUCIAL-Expertise-Angers</t>
  </si>
  <si>
    <t>https://agences.fiducial.fr/FIDUCIAL-Expertise-Cavaillon</t>
  </si>
  <si>
    <t>https://chaire-dami.fr/strategies-avancees-pour-maximiser-les-revenus-des-dirigeants-de-sasu</t>
  </si>
  <si>
    <t>https://www.cba-france.com/dirigeant-optimiser-votre-remuneration/</t>
  </si>
  <si>
    <t>https://www.klesia.fr/du-constat-laction-la-strategie-retraite-de-fin-dannee-pour-le-dirigeant</t>
  </si>
  <si>
    <t>https://analyse-retraite.fr/contact-retraite/notre-cabinet-conseil-retraite.php</t>
  </si>
  <si>
    <t>https://analyse-retraite.fr/contact-retraite/contact.php</t>
  </si>
  <si>
    <t>https://www.info-retraite.fr/portail-info/sites/PortailInformationnel/home/aide/contacts.html</t>
  </si>
  <si>
    <t>https://retraite-conseils.fr/</t>
  </si>
  <si>
    <t>https://retraite-conseils.fr/contact/</t>
  </si>
  <si>
    <t>https://go.sellsy.com/blog/meilleurs-logiciels-facturation-tpe</t>
  </si>
  <si>
    <t>https://go.sellsy.com/blog/meilleurs-logiciels-dematerialisation-facture</t>
  </si>
  <si>
    <t>https://go.sellsy.com/blog/lliste-pdp-autorisees</t>
  </si>
  <si>
    <t>https://xavierminali.com/fr/perspectives-strategiques-blog-transformation-numerique/facturation-%C3%A9lectronique-obligatoire-2026-checklist-de-conformit%C3%A9</t>
  </si>
  <si>
    <t>https://www.exe-conseil.fr/blog/actualites-9/la-facturation-electronique-obligatoire-en-2026-comment-preparer-votre-entreprise-a-cette-revolution-numerique-8</t>
  </si>
  <si>
    <t>https://www.lfc-conseil.fr/la-facture-electronique-obligatoire-a-partir-de-2026/</t>
  </si>
  <si>
    <t>https://www.jepilotemonentreprise.com/facturation-comptabilite/liste-pdp-facturation-electronique/</t>
  </si>
  <si>
    <t>https://fna.fr/documents/facturation-electronique-obligatoire-entre-entreprises-a-compter-de-2026/</t>
  </si>
  <si>
    <t>https://www.seneactu.net/banques-pro-economiques-2026/</t>
  </si>
  <si>
    <t>https://pamadigital.com/blog/%28pdp%29-zoom-sur-la-liste-publi%C3%A9e-par-la-dgfip</t>
  </si>
  <si>
    <t>https://oga-francepartenaire.fr/actualites/1942/facturation-electronique-ladministration-publie-la-premere-liste-de-plateformes-de-dematerialisation-partenaires-pdp</t>
  </si>
  <si>
    <t>https://www.normandie.fr/sites/default/files/2025-01/3e-journee-regionale-prevention-entreprises-8102024.pdf</t>
  </si>
  <si>
    <t>https://www.cabinet-mosselmans.com/choisir-sa-banque-pour-son-entreprise/</t>
  </si>
  <si>
    <t>https://www.scale-expertise.fr/</t>
  </si>
  <si>
    <t>https://freedz.io/facture-electronique-2024/</t>
  </si>
  <si>
    <t>https://www.lyon-metropole.cci.fr/actualites/la-facture-electronique-bientot-une-obligation-pour-les-tpe-et-pme</t>
  </si>
  <si>
    <t>https://www.itesoft.com/fr/blog/facture-electronique-7-points-cles/</t>
  </si>
  <si>
    <t>https://www.ouestnormandie.cci.fr/actualite/facturation-electronique-une-obligation-incontournable-des-2026</t>
  </si>
  <si>
    <t>https://www.n2f.com/blog/tout-comprendre-a-la-reforme-de-la-facturation-electronique/</t>
  </si>
  <si>
    <t>https://www.experts-comptables.fr/comprendre-la-facturation-electronique</t>
  </si>
  <si>
    <t>https://dext.com/fr/ressources/blog-actualite-comptable/single/tendances-comptables-2026-facture-electronique</t>
  </si>
  <si>
    <t>https://dext.com/fr/cabinet/produits/logiciel-facturation-electronique</t>
  </si>
  <si>
    <t>https://dext.com/fr/ressources/blog-actualite-comptable/single/plateforme-facture-electronique</t>
  </si>
  <si>
    <t>https://dext.com/fr/ressources/facture-electronique</t>
  </si>
  <si>
    <t>https://www.youtube.com/watch?v=FoXJq-GfFrg</t>
  </si>
  <si>
    <t>https://www.youtube.com/watch?v=IDghZUdTP_w</t>
  </si>
  <si>
    <t>https://www.urssaf.fr/accueil/actualites/facturation-electronique.html</t>
  </si>
  <si>
    <t>https://www.septeo.com/fr/articles/tout-ce-quil-faut-savoir-sur-la-facture-electronique</t>
  </si>
  <si>
    <t>https://www.referencedaf.com/facturation-electronique-obligatoire-2026/</t>
  </si>
  <si>
    <t>https://www.visapaie.fr/externalisation-paie-pour-experts-comptables/</t>
  </si>
  <si>
    <t>https://www.ssp-partners.com/</t>
  </si>
  <si>
    <t>https://doc-paie.fr/</t>
  </si>
  <si>
    <t>https://prisma-paierh.com/</t>
  </si>
  <si>
    <t>https://www.bdo.fr/fr-fr/services/expertise-comptable/accompagnement-facturation-electronique</t>
  </si>
  <si>
    <t>https://www.bdo.fr/fr-fr/services/expertise-sociale-rh/gestion-de-la-paie/externalisation-de-la-paie-pour-experts-comptables</t>
  </si>
  <si>
    <t>https://payesquad.fr/externalisation-paie/</t>
  </si>
  <si>
    <t>https://payesquad.fr/</t>
  </si>
  <si>
    <t>https://gopaie.fr/wp-content/uploads/2022/05/Brochure_Offres_de_Services_GoPaie.pdf</t>
  </si>
  <si>
    <t>https://tlpaie.com/</t>
  </si>
  <si>
    <t>https://maisontpe.fr/</t>
  </si>
  <si>
    <t>https://www.facturconform.fr/guide/choisir-sa-plateforme-pdp</t>
  </si>
  <si>
    <t>https://www.efysoft.fr/</t>
  </si>
  <si>
    <t>https://www.tout-pour-la-gestion.com/integrateur-revendeur/reforme-de-la-facturation-electronique-pdp-calendrier-phases-defis-avantages-et-consequences-pour-les-pme-et-tpe/</t>
  </si>
  <si>
    <t>https://www.axys-consultants.com/expertises/cabinet-conseil-finance/facturation-electronique/</t>
  </si>
  <si>
    <t>https://help.thais-pms.fr/fr/article/facturation-electronique-pdp-cs8hnj/</t>
  </si>
  <si>
    <t>https://www.prodwaregroup.com/fr-fr/solutions/facture-electronique/</t>
  </si>
  <si>
    <t>https://www.tiime.fr/plateforme-dematerialisation-partenaire-pdp</t>
  </si>
  <si>
    <t>https://comptactis.fr/wp-content/uploads/2025/06/COMPTACTIS-OEC-Facturation-electronique_brochure-2025-1.pdf</t>
  </si>
  <si>
    <t>https://pdp.fr/</t>
  </si>
  <si>
    <t>https://www.cabinet-aac.fr/actualite-du-mois/transformation-digitale/52-actualite</t>
  </si>
  <si>
    <t>https://www.hellobankpro.fr/fr/services-pro/facturation-electronique</t>
  </si>
  <si>
    <t>https://www.hellobankpro.fr/fr/banque-pro/compte-professionnel</t>
  </si>
  <si>
    <t>https://www.hellobankpro.fr/fr/devenir-client/creer-son-entreprise</t>
  </si>
  <si>
    <t>https://milesopedia.fr/guides/meilleures-banques-pros-france/</t>
  </si>
  <si>
    <t>https://www.thebaide-conseils.fr/reforme-retraites-dirigeants/</t>
  </si>
  <si>
    <t>https://altis-conseil.fr/retraite-dirigeant-sas-assimile-salarie/</t>
  </si>
  <si>
    <t>https://altis-conseil.fr/strategie-retraite-chef-dentreprise/</t>
  </si>
  <si>
    <t>https://gt-expertise.fr/facturation-electronique/</t>
  </si>
  <si>
    <t>https://gt-expertise.fr/maitriser-votre-budget-previsionnel/</t>
  </si>
  <si>
    <t>https://www.socic.fr/ressources-comptabilite/articles/comment-calculer-son-budget-expert-comptable</t>
  </si>
  <si>
    <t>https://www.socic.fr/ressources-comptabilite/articles/comptable-pas-cher-bien-choisir</t>
  </si>
  <si>
    <t>https://www.guennounconseils.fr/expert-comptable-tpe</t>
  </si>
  <si>
    <t>https://oranova-conseil.fr/expert-comptable-petites-entreprises/</t>
  </si>
  <si>
    <t>https://www.vos-expertscomptables.fr/</t>
  </si>
  <si>
    <t>https://www.kompio.fr/</t>
  </si>
  <si>
    <t>https://expertcomptapro.fr/comptabilite</t>
  </si>
  <si>
    <t>https://expertcomptapro.fr/paris-75</t>
  </si>
  <si>
    <t>https://www.meilleure-banque.com/meilleure-neobanque-pro</t>
  </si>
  <si>
    <t>https://www.obat.fr/blog/logiciel-facturation-gratuit/</t>
  </si>
  <si>
    <t>https://www.obat.fr/blog/neobanque-pro-comparatif/</t>
  </si>
  <si>
    <t>https://dms-invest.fr/meilleure-banque-pro/</t>
  </si>
  <si>
    <t>https://www.bycome.fr/meilleures-banque-pro-en-ligne.html</t>
  </si>
  <si>
    <t>https://www.mycxp.fr/actus/factures-electroniques-liste-des-plateformes-agreees/</t>
  </si>
  <si>
    <t>https://www.economie.gouv.fr/particuliers/gerer-mon-argent/gerer-mon-budget-et-mon-epargne/comment-changer-de-banque</t>
  </si>
  <si>
    <t>https://www.economie.gouv.fr/cedef/fiches-pratiques/laide-la-mobilite-bancaire</t>
  </si>
  <si>
    <t>https://www.economie.gouv.fr/actualites/facturation-electronique-la-liste-des-101-premieres-plateformes-agreees-est-disponible</t>
  </si>
  <si>
    <t>https://www.economie.gouv.fr/cedef/fiches-pratiques/commande-publique-la-facturation-electronique</t>
  </si>
  <si>
    <t>https://www.economie.gouv.fr/tout-savoir-sur-la-facturation-electronique-pour-les-entreprises</t>
  </si>
  <si>
    <t>https://www.economie.gouv.fr/actualites/facturation-electronique-les-entreprises-accompagnees-tout-au-long-du-deploiement</t>
  </si>
  <si>
    <t>https://www.gerantdesarl.com/actualite/facturation-electronique-la-liste-officielle-des-101-premieres-plateformes-agreees-est-publiee</t>
  </si>
  <si>
    <t>https://entreprendre.service-public.gouv.fr/vosdroits/R60444</t>
  </si>
  <si>
    <t>https://entreprendre.service-public.gouv.fr/actualites/A15683</t>
  </si>
  <si>
    <t>https://entreprendre.service-public.gouv.fr/vosdroits/F23208</t>
  </si>
  <si>
    <t>https://entreprendre.service-public.gouv.fr/vosdroits/F21118</t>
  </si>
  <si>
    <t>https://evidency.io/horodatage-ses-benefices-pour-les-factures-electroniques/#:~:text=L'horodatage%20qualifi%C3%A9%20eIDAS%20joue%20un%20r%C3%B4le%20cl%C3%A9,comme%20l'horodatage%20et%20le%20cachet%20%C3%A9lectronique%20qualifi%C3%A9s.</t>
  </si>
  <si>
    <t>https://evidency.io/horodatage-ses-benefices-pour-les-factures-electroniques/</t>
  </si>
  <si>
    <t>https://www.dimo-dematerialisation.com/facture-electronique-obligatoire-2026/</t>
  </si>
  <si>
    <t>https://www.kanta.fr/articles/facturation-electronique-2026-est-elle-obligatoire</t>
  </si>
  <si>
    <t>https://www.q3expertise.fr/</t>
  </si>
  <si>
    <t>https://www.rydge.fr/cabinet-expert-comptable/expert-comptable-colmar-68000</t>
  </si>
  <si>
    <t>https://www.rydge.fr/cabinet-expert-comptable/expert-comptable-roubaix-59100</t>
  </si>
  <si>
    <t>https://www.pont9.fr/annuaire/cavaillon/ifac-se-684c45d64de4f72c716463d0</t>
  </si>
  <si>
    <t>https://www.pont9.fr/annuaire/cavaillon/cap-expert-conseil-alpilles-luberon-cabinet-d-expertise-comptable-brun-et-michel-684c318bb151be81001a20fe</t>
  </si>
  <si>
    <t>https://www.pont9.fr/annuaire/roubaix/h4c-684c3c9fb151be81001a4063</t>
  </si>
  <si>
    <t>https://www.quanteos.fr/le-cabinet/</t>
  </si>
  <si>
    <t>https://cabinetprevost.fr/presentation-du-cabinet/</t>
  </si>
  <si>
    <t>https://www.h4c-expertcomptable.fr/expert-comptable-2.html</t>
  </si>
  <si>
    <t>https://mcmanagement.fr/</t>
  </si>
  <si>
    <t>https://www.cabinet-centralys.fr/expert-comptable-roubaix</t>
  </si>
  <si>
    <t>https://ilicompta.fr/expert-comptable/provence-compta</t>
  </si>
  <si>
    <t>https://ilicompta.fr/expert-comptable/darras</t>
  </si>
  <si>
    <t>https://sofinorex.com/services/pack-createur-evolution-roubaix-lille-croix/</t>
  </si>
  <si>
    <t>https://sofinorex.com/</t>
  </si>
  <si>
    <t>https://sofinorex.com/notre-cabinet/</t>
  </si>
  <si>
    <t>https://visionconseilfrance.fr/patrimoine-du-dirigeant/</t>
  </si>
  <si>
    <t>https://www.neoviaretraite.fr/actualites/type-profil/dirigeant/</t>
  </si>
  <si>
    <t>https://www.neoviaretraite.fr/cabinet-conseil-retraite/cabinet-conseil-retraite-marseille/</t>
  </si>
  <si>
    <t>https://www.neoviaretraite.fr/profils/retraites-des-dirigeants/</t>
  </si>
  <si>
    <t>https://nord-pas-de-calais.cerfrance.fr/metiers/tpe-pme</t>
  </si>
  <si>
    <t>https://nord-pas-de-calais.cerfrance.fr/pages/facture-electronique-obligatoire-etes-vous-pret-pour-2026</t>
  </si>
  <si>
    <t>https://www.aeterniapatrimoine.fr/je-suis-chef-dentreprise/epargne-retraite-dirigeants-securisez-votre-avenir-financier/</t>
  </si>
  <si>
    <t>https://coligny.fr/expertises/dirigeant-entreprise/</t>
  </si>
  <si>
    <t>https://www.tide.co/fr-FR/blog/compte-pro-et-banque/frais-bancaire-compte-pro/</t>
  </si>
  <si>
    <t>https://selectra.info/finance/guides/banque-pro/logiciel-facturation</t>
  </si>
  <si>
    <t>https://selectra.info/finance/guides/banque-en-ligne</t>
  </si>
  <si>
    <t>https://comeon-expert.com/creation-dentreprise/</t>
  </si>
  <si>
    <t>https://bourdatfinance.com/services/confiez-nous-la-creation-de-votre-entreprise/</t>
  </si>
  <si>
    <t>https://www.cabinet-d-expertcomptable.com/</t>
  </si>
  <si>
    <t>https://monsieur-compta.fr/expert-comptable-creation-entreprise/</t>
  </si>
  <si>
    <t>https://numbr.co/avis/</t>
  </si>
  <si>
    <t>https://www.cabinet-lefebvre.fr/creation-entreprise</t>
  </si>
  <si>
    <t>https://www.advyse.fr/profil/createur-entreprise/</t>
  </si>
  <si>
    <t>https://www.advyse.fr/expertises/creation-entreprise/</t>
  </si>
  <si>
    <t>https://leopaie.fr/</t>
  </si>
  <si>
    <t>https://www.monembauchefacile.fr/externalisation-de-paie</t>
  </si>
  <si>
    <t>https://www.pc-consulting-paie.fr/1-8.htm</t>
  </si>
  <si>
    <t>https://www.mapaye.fr/externalisation-vs-internalisation</t>
  </si>
  <si>
    <t>https://www.mapaye.fr/externalisation-de-la-paie</t>
  </si>
  <si>
    <t>https://www.mapaye.fr/</t>
  </si>
  <si>
    <t>https://international-pratique.com/2024/02/05/facturation-electronique-a-partir-de-septembre-2026-premiere-liste-doperateurs-candidats-plateforme-de-dematerialisation-partenaire-pdp/</t>
  </si>
  <si>
    <t>https://expert-comptable-en-ligne.fr/expertise-comptable/comptabilite-TPE-PME.php</t>
  </si>
  <si>
    <t>https://www.l-expert-comptable.com/c/expert-comptable-metier</t>
  </si>
  <si>
    <t>https://www.l-expert-comptable.com/a/differences-comptable-expert-comptable.html</t>
  </si>
  <si>
    <t>https://www.l-expert-comptable.com/a/7438-expert-comptable-paris.html</t>
  </si>
  <si>
    <t>https://www.l-expert-comptable.com/start-ups</t>
  </si>
  <si>
    <t>https://www.shine.fr/blog/meilleurs-logiciels-facturation-electronique/</t>
  </si>
  <si>
    <t>https://www.shine.fr/compte-pro/sas/</t>
  </si>
  <si>
    <t>https://www.shine.fr/compte-pro/sasu/</t>
  </si>
  <si>
    <t>https://www.shine.fr/compte-pro/sarl/</t>
  </si>
  <si>
    <t>https://www.shine.fr/creation-sasu/</t>
  </si>
  <si>
    <t>https://www.shine.fr/blog/meilleurs-comptes-pro-tpe/</t>
  </si>
  <si>
    <t>https://www.shine.fr/shine-vs-hellobankpro/</t>
  </si>
  <si>
    <t>https://www.shine.fr/comparatif-comptes-pro/</t>
  </si>
  <si>
    <t>https://www.shine.fr/blog/meilleures-alternatives-qonto/</t>
  </si>
  <si>
    <t>https://www.shine.fr/blog/meilleurs-comptes-pro-en-ligne/</t>
  </si>
  <si>
    <t>https://www.shine.fr/experts/comptables/</t>
  </si>
  <si>
    <t>https://www.shine.fr/experts-comptables-partenaires/</t>
  </si>
  <si>
    <t>https://www.swisslife.fr/expert-comptable/protection-du-dirigeant/epargne-chef-d-entreprise.html</t>
  </si>
  <si>
    <t>https://www.swisslife.fr/swiss-life-en-france/yourlifestories/Entretiens-retraite-gratuits-Agirc-Arrco.html</t>
  </si>
  <si>
    <t>https://www.agirc-arrco.fr/particuliers/mes-services-particuliers/accompagnement-et-prevention</t>
  </si>
  <si>
    <t>https://www.agirc-arrco.fr/particuliers/mes-services-particuliers/accompagnement-et-prevention/</t>
  </si>
  <si>
    <t>https://www.agirc-arrco.fr/agences-retraite/accueil-conseil-retraite-agirc-arrco-de-marseille-agence-pro-btp/</t>
  </si>
  <si>
    <t>https://www.agirc-arrco.fr/particuliers/mes_contacts/nous-contacter/prendre-rendez-vous/</t>
  </si>
  <si>
    <t>https://www.agirc-arrco.fr/particuliers/les-experts-retraite/</t>
  </si>
  <si>
    <t>https://www.agirc-arrco.fr/profil/nous-connaitre/</t>
  </si>
  <si>
    <t>https://www.agirc-arrco.fr/nous-connaitre/nos-actualites/lagirc-arrco-vous-invite-a-realiser-un-bilan-de-prevention/</t>
  </si>
  <si>
    <t>https://www.agirc-arrco.fr/nous-connaitre/nos-actualites/lagirc-arrco-vous-invite-a-realiser-un-bilan-de-prevention/%2B33970660660</t>
  </si>
  <si>
    <t>https://www.agirc-arrco.fr/nous-connaitre/nos-actualites/rendez-vous-de-la-retraite-succes-public-et-mediatique/</t>
  </si>
  <si>
    <t>https://www.agirc-arrco.fr/particuliers/mes-services-particuliers/preparer-ma-retraite/entretien-information-retraite/</t>
  </si>
  <si>
    <t>https://www.legalstart.fr/fiches-pratiques/comptabilite-entreprise/comptabilite-en-ligne/#:~:text=1)%20Un%20acc%C3%A8s%20rapide%20et%20facile%20%C3%A0,sont%20%C3%A9galement%20disponibles%20sous%20forme%20d'applications%20mobiles.</t>
  </si>
  <si>
    <t>https://www.legalstart.fr/fiches-pratiques/facturation/facture-electronique/#:~:text=Puis%2C%20en%20fonction%20de%20la%20taille%20de,au%201%E1%B5%89%CA%B3%20septembre%202027%20pour%20les%20TPE/PME2026.</t>
  </si>
  <si>
    <t>https://www.legalstart.fr/fiches-pratiques/comptabilite-entreprise/expert-comptable-creation-entreprise/</t>
  </si>
  <si>
    <t>https://www.legalstart.fr/fiches-pratiques/astuces-entrepreneurs/compte-bancaire-professionnel/</t>
  </si>
  <si>
    <t>https://www.capitaine-banque.com/actualite-banque/shine/#:~:text=Shine%20propose%20%C3%A9galement%20une%20solution%20aux%20soci%C3%A9t%C3%A9s,administratives%20et%20ainsi%20faciliter%20le%20processus%20:</t>
  </si>
  <si>
    <t>https://www.capitaine-banque.com/actualite-banque/depot-de-capital-qonto/#:~:text=Souscrire%20un%20pack%20qui%20comprend%20le%20d%C3%A9p%C3%B4t,d'abonnement%20%C3%A0%20une%20offre%20bancaire%20de%20Qonto</t>
  </si>
  <si>
    <t>https://rh.jcausse.com/details-externalisation%2Bde%2Bla%2Bpaie%2Ba%2Bun%2Bcabinet%2Bd%2Bexpertise%2Bcomptable-158.html</t>
  </si>
  <si>
    <t>https://genpaie.fr/experts-comptables/</t>
  </si>
  <si>
    <t>https://tplpaye.fr/externalisation-paie-paris/</t>
  </si>
  <si>
    <t>https://tplpaye.fr/societe-externalisation-paie/</t>
  </si>
  <si>
    <t>https://tplpaye.fr/</t>
  </si>
  <si>
    <t>https://www.francenum.gouv.fr/guides-et-conseils/pilotage-de-lentreprise/dematerialisation-des-documents/facturation-0</t>
  </si>
  <si>
    <t>https://eduoutils.fr/comparatifs/meilleurs-logiciels-comptabilite-freelance-2026/</t>
  </si>
  <si>
    <t>https://blog.tiime.fr/top-des-meilleures-plateformes-de-dematerialisation-partenaires-pdp-comparatif#:~:text=D%C3%A9j%C3%A0%20utilis%C3%A9e%20par%20de%20nombreuses%20TPE%20et,complexe%20pour%20un%20besoin%20strictement%20orient%C3%A9%20facturation.</t>
  </si>
  <si>
    <t>https://www.expert-comptable-tpe.fr/externalisation-paie-expert-comptable/</t>
  </si>
  <si>
    <t>https://www.expert-comptable-tpe.fr/articles/facturation-electronique/</t>
  </si>
  <si>
    <t>https://www.expert-comptable-tpe.fr/guide-expert-comptable-en-ligne/</t>
  </si>
  <si>
    <t>https://www.expert-comptable-tpe.fr/business-plan-expert-comptable/</t>
  </si>
  <si>
    <t>https://www.expert-comptable-tpe.fr/articles/combien-coute-un-previsionnel-ou-un-business-plan/</t>
  </si>
  <si>
    <t>https://www.fiducial.fr/facturation-electronique</t>
  </si>
  <si>
    <t>https://www.tgs-france.fr/actualites/tgs-france-distinguemeilleurs-cabinets-expertise-comptable-2025-le-point/</t>
  </si>
  <si>
    <t>https://www.tgs-france.fr/services/solutions-retraite/</t>
  </si>
  <si>
    <t>https://www.tgs-france.fr/actualites/tgs-france-classe-parmi-les-meilleurs-cabinets-d-expertise-comptable/</t>
  </si>
  <si>
    <t>https://www.tgs-france.fr/agences/cabinet-comptable-tours/</t>
  </si>
  <si>
    <t>https://propulsebyca.fr/compte-pro/comparatif/neobanque-pro</t>
  </si>
  <si>
    <t>https://www.portail-autoentrepreneur.fr/academie/gestion-auto-entreprise/facturation/facture-electronique-obligatoire</t>
  </si>
  <si>
    <t>https://www.portail-autoentrepreneur.fr/academie/comparatifs/banques/meilleure-neobanque</t>
  </si>
  <si>
    <t>https://microcitron.fr/blog/les-meilleures-neobanques-pour-auto-entrepreneurs</t>
  </si>
  <si>
    <t>https://www.coover.fr/expert-comptable/en-ligne</t>
  </si>
  <si>
    <t>https://www.coover.fr/banque-pro/compte-pro-sans-banque</t>
  </si>
  <si>
    <t>https://www.keobiz.fr/metier/artisan-et-commercant/</t>
  </si>
  <si>
    <t>https://www.keobiz.fr/</t>
  </si>
  <si>
    <t>https://www.dougs.fr/blog/meilleure-banque-en-ligne/</t>
  </si>
  <si>
    <t>https://www.dougs.fr/blog/expert-comptable-independant/</t>
  </si>
  <si>
    <t>https://www.dougs.fr/expert-comptable-pme/</t>
  </si>
  <si>
    <t>https://www.dougs.fr/expert-comptable/</t>
  </si>
  <si>
    <t>https://www.servicetel.fr/choisir-pdp-facturation-electronique-2026/</t>
  </si>
  <si>
    <t>https://www.pennylane.com/fr/fiches-pratiques/facture-electronique/reforme-facturation-electronique</t>
  </si>
  <si>
    <t>https://www.pennylane.com/fr/fiches-pratiques/compte-pro/les-documents-a-fournir-pour-louverture-dun-compte-pro</t>
  </si>
  <si>
    <t>https://www.fiduciaire-yadan.fr/facturation-electronique-2026-2027-le-guide-dun-expert-comptable-a-paris-obligations-pdp-check-list/</t>
  </si>
  <si>
    <t>https://tradeshift.com/fr/resources/pdp-et-facturation-electronique/mandat-de-facturation-electronique-2026-en-france-ce-que-nous-avons-appris-lors-de-notre-webinaire-conformite/</t>
  </si>
  <si>
    <t>https://independant.io/logiciel-facturation-tpe/</t>
  </si>
  <si>
    <t>https://independant.io/expert-comptable-tpe-pme/</t>
  </si>
  <si>
    <t>https://independant.io/compte-pro-sarl/</t>
  </si>
  <si>
    <t>https://independant.io/comparateur/banque-pro/page/4/</t>
  </si>
  <si>
    <t>https://independant.io/logiciel-comptabilite-tpe/</t>
  </si>
  <si>
    <t>https://www.carsat-am.fr/home/actifs/votre-retraite-etapes-cles/etre-accompagne-dans-sa-demande.html</t>
  </si>
  <si>
    <t>https://www.carsat-lr.fr/home/entreprise/accompagner-salaries-retraite.html</t>
  </si>
  <si>
    <t>https://www.defiretraite.fr/contactez-nous/</t>
  </si>
  <si>
    <t>https://www.cgss.re/entreprise/pour-mon-salarie</t>
  </si>
  <si>
    <t>https://www.retraite-info.fr/puis-je-consulter-un-conseiller-retraite-gratuitement/</t>
  </si>
  <si>
    <t>https://www.lassuranceretraite.fr/portail-info/cms/render/live/fr/sites/pub/hors-menu/footer/contacts.html</t>
  </si>
  <si>
    <t>https://www.lassuranceretraite.fr/portail-info/sites/pub/hors-menu/actualites-nationales/actif/2025/demandeur-demploi-atelier-ft.html</t>
  </si>
  <si>
    <t>https://www.lassuranceretraite.fr/portail-info/hors-menu/actualites-nationales/actif/2025/des-interlocuteurs-pres.html</t>
  </si>
  <si>
    <t>https://www.carsat-pl.fr/home/retraites/pour-bien-vieillir--aide-et-conseils/aides-proposees-par-vos-retraites-complementaires-agircarrco.html</t>
  </si>
  <si>
    <t>https://www.carsat-pl.fr/home/partenaires/la-newsletter-rendez-vous-partenaires/rendez-vous-partenaires-25.html</t>
  </si>
  <si>
    <t>https://www.detective-banque.fr/banque/banque-pro/pack-creation-entreprise-et-compte-pro/</t>
  </si>
  <si>
    <t>https://www.detective-banque.fr/banque/banque-pro/ouvrir-un-compte-pro-en-ligne-sans-justificatif/</t>
  </si>
  <si>
    <t>https://www.detective-banque.fr/neo-banque-pour-pro-comment-faire-son-choix/</t>
  </si>
  <si>
    <t>https://www.detective-banque.fr/actualites/banque/creer-son-entreprise-les-demarches-incontournables-et-pourquoi-le-compte-pro-est-une-etape-cle/</t>
  </si>
  <si>
    <t>https://www.detective-banque.fr/banque/banque-pro/qonto-ou-shine/</t>
  </si>
  <si>
    <t>https://www.indy.fr/guide/comptabilite-en-ligne/logiciel/comparatif/logiciel-expert-comptable/</t>
  </si>
  <si>
    <t>https://www.indy.fr/guide/banque/pro/tpe/</t>
  </si>
  <si>
    <t>https://www.indy.fr/guide/compte-bancaire/pro/tpe/</t>
  </si>
  <si>
    <t>https://www.indy.fr/guide/banque/meilleure/pro/#:~:text=Bonne%20nouvelle%20!%20Il%20est%20maintenant%20possible,100%25%20gratuit%20!%20%F0%9F%94%A5%20Ouvrir%20mon%20compte.</t>
  </si>
  <si>
    <t>https://www.indy.fr/guide/comptabilite-en-ligne/logiciel/comparatif/</t>
  </si>
  <si>
    <t>https://www.indy.fr/guide/sasu/comptabilite/obligations-comptables/compte-bancaire-professionnel/</t>
  </si>
  <si>
    <t>https://www.indy.fr/guide/banque/comparateur/</t>
  </si>
  <si>
    <t>https://www.indy.fr/guide/banque/tarif/</t>
  </si>
  <si>
    <t>https://www.banquepro.fr/12-neobanques-professionnels-france/</t>
  </si>
  <si>
    <t>https://qonto.com/fr/blog/gestion-entreprise/facturation/logiciel-facturation-tpe</t>
  </si>
  <si>
    <t>https://qonto.com/fr/blog/qonto/compte-pro-vs-banques/meilleures-banques-pour-entreprises#:~:text=%23%20Tableau%20comparatif%20des%20meilleures%20banques%20pro,et%200%2C80%20%25%20de%20commission)%20%7C%20%E2%9C%97</t>
  </si>
  <si>
    <t>https://qonto.com/fr/blog/qonto/compte-pro-vs-banques/shine-vs-qonto-vs-n26</t>
  </si>
  <si>
    <t>https://qonto.com/fr/blog/qonto/compte-pro-vs-banques/tarif-compte-pro</t>
  </si>
  <si>
    <t>https://qonto.com/fr/blog/gestion-entreprise/facturation/plateforme-agreee-pa#:~:text=Le%20Portail%20Public%20de%20Facturation%20(PPF)%20%C3%A9tait,appliquer%20la%20r%C3%A9forme%20de%20la%20facturation%20%C3%A9lectronique.</t>
  </si>
  <si>
    <t>https://qonto.com/fr/comparators/online-banks</t>
  </si>
  <si>
    <t>https://www.monoutildegestion.fr/comparatif/logiciel-comptabilite-auto-entrepreneur</t>
  </si>
  <si>
    <t>https://www.monoutildegestion.fr/outils/keobiz</t>
  </si>
  <si>
    <t>https://www.lelabentrepreneur.com/2025/09/20/devis-facturation-le-comparatif-freelances-tpe-pme/</t>
  </si>
  <si>
    <t>https://www.lelabentrepreneur.com/portfolio-category/liste-des-outils-de-finance-comptabilite-gestion/</t>
  </si>
  <si>
    <t>https://www.comparabanques.fr/comparatif-banque/banque-pro</t>
  </si>
  <si>
    <t>https://www.comparabanques.fr/comparatif-banque/banque-pro/entreprise#:~:text=Son%20pack%20de%20cr%C3%A9ation%20d'entreprise%20(%C3%A0%20partir,pour%20les%20formalit%C3%A9s%20et%20l'obtention%20du%20Kbis.</t>
  </si>
  <si>
    <t>https://www.comparabanques.fr/comparatif-banque/banque-pro/creation-micro-entreprise#:~:text=-%20Si%20vous%20pratiquez%20une%20activit%C3%A9%20commerciale%2C,au%20Registre%20Sp%C3%A9cial%20des%20Agents%20Commerciaux%20(RSAC).</t>
  </si>
  <si>
    <t>https://www.comparabanques.fr/banque-pro/profession-liberale</t>
  </si>
  <si>
    <t>https://www.comparabanques.fr/comparatif-banque/banque-pro/shine-vs-qonto</t>
  </si>
  <si>
    <t>https://www.sage.com/fr-fr/-/media/files/sagedotcom/france/documents/pdf/experts-comptables/sage-synergie-programme-ec-plaquette_19042019_vdef.pdf?la=fr-fr</t>
  </si>
  <si>
    <t>https://www.sage.com/fr-fr/dematerialisation/facture-electronique/</t>
  </si>
  <si>
    <t>https://www.sage.com/fr-fr/comptabilite-logiciels/facturation/</t>
  </si>
  <si>
    <t>https://www.sage.com/fr-fr/solutions-paiement-integrees/logiciel-rapprochement-bancaire/</t>
  </si>
  <si>
    <t>https://www.sinao.fr/business/logiciel-comptabilite-pme-tpe</t>
  </si>
  <si>
    <t>https://bleez.com/logiciel-comptabilite-tpe</t>
  </si>
  <si>
    <t>https://fr.wikipedia.org/wiki/Legalstart</t>
  </si>
  <si>
    <t>https://fr.wikipedia.org/wiki/Fidal</t>
  </si>
  <si>
    <t>https://fr.wikipedia.org/wiki/Tiime</t>
  </si>
  <si>
    <t>https://fr.wikipedia.org/wiki/Plateforme_agr%C3%A9%C3%A9e</t>
  </si>
  <si>
    <t>https://fr.wikipedia.org/wiki/Shine_France_%28banque%29</t>
  </si>
  <si>
    <t>https://facture-electronique-obligatoire.fr/facturation-electronique-pme/</t>
  </si>
  <si>
    <t>https://facture-electronique-obligatoire.fr/conformite-facturation-electronique-2026-tout-comprendre/e-invoicing-la-facturation-electronique-obligatoire-expliquee/</t>
  </si>
  <si>
    <t>https://facture-electronique-obligatoire.fr/transmission-factures-electroniques/</t>
  </si>
  <si>
    <t>https://facture-electronique-obligatoire.fr/conformite-facturation-electronique/e-invoicing-la-facturation-electronique-obligatoire-expliquee/</t>
  </si>
  <si>
    <t>https://facture-electronique-obligatoire.fr/integrations/</t>
  </si>
  <si>
    <t>https://www.brait.cc/en/blog/electronic-invoicing-france</t>
  </si>
  <si>
    <t>https://www.b2brouter.net/global/international/france/</t>
  </si>
  <si>
    <t>https://erp.comarch.com/trade-and-services/data-management/e-invoicing/e-invoicing-in-france/</t>
  </si>
  <si>
    <t>https://www.storecove.com/blog/en/frances-e-invoicing-landscape/</t>
  </si>
  <si>
    <t>https://blog.groupseres.com/en/frances-adaptation-to-einvoicing</t>
  </si>
  <si>
    <t>https://www.theinvoicinghub.com/einvoicing-compliance-france/</t>
  </si>
  <si>
    <t>https://stripe.com/fr-ca/resources/more/pos-systems-for-businesses#:~:text=Gratuit%20:%20a%20g%C3%A9n%C3%A9ralement%20des%20fonctionnalit%C3%A9s%20limit%C3%A9es,et%20%C3%A9tablis%20selon%20les%20besoins%20de%20l'entreprise</t>
  </si>
  <si>
    <t>https://stripe.com/en-gr/resources/more/partner-dematerialization-platforms-pdp-france</t>
  </si>
  <si>
    <t>https://www.tecalliance.net/new-electronic-invoicing-mandatory-in-france-as-of-1st-july-2024-tecalliance-registers-as-pdp/</t>
  </si>
  <si>
    <t>https://www.cleartax.com/fr/en/common-mistakes-e-invoicing-france</t>
  </si>
  <si>
    <t>https://www.cleartax.com/fr/en/chorus-pro-france-e-invoicing</t>
  </si>
  <si>
    <t>https://compliant-invoice.eu/fr/blog/facturation-electronique-2026-guide-complet</t>
  </si>
  <si>
    <t>https://compliant-invoice.eu/en/blog/france-einvoicing-2026-complete-guide</t>
  </si>
  <si>
    <t>https://tenorsolutions.com/facture-electronique-2026/</t>
  </si>
  <si>
    <t>https://www.anyti.me/fr/actualites/facturation-electronique-la-liste-des-plateformes-de-dematerialisation-partenaires-immatriculees/1741</t>
  </si>
  <si>
    <t>https://www.anyti.me/fr/actualites/factures-electroniques-2026-role-et-liste-des-plateformes-de-dematerialisation-partenaires/1803</t>
  </si>
  <si>
    <t>https://www.impots.gouv.fr/professionnel/questions/je-nemets-pas-de-facture-ou-je-facture-sans-tva-suis-je-concerne-par-la</t>
  </si>
  <si>
    <t>https://www.impots.gouv.fr/depliant-la-facturation-electronique-en-4-questions</t>
  </si>
  <si>
    <t>https://www.impots.gouv.fr/liste-des-plateformes-agreees-immatriculees</t>
  </si>
  <si>
    <t>https://www.impots.gouv.fr/sites/default/files/media/1_metier/2_professionnel/EV/2_gestion/290_facturation_electronique/fiche-1_que-va-t-il-se-passer-pour-mon-entreprise_octobre-2024.pdf</t>
  </si>
  <si>
    <t>https://www.impots.gouv.fr/sites/default/files/media/1_metier/2_professionnel/EV/2_gestion/290_facturation_electronique/fiche-3_tpe_a-partir-de-quand-mon-entreprise-doit-etre-prete_octobre-2024.pdf</t>
  </si>
  <si>
    <t>https://www.impots.gouv.fr/sites/default/files/media/1_metier/2_professionnel/EV/2_gestion/290_facturation_electronique/fiche-3_tpe_a-partir-de-quand-mon-entreprise-doit-etre-prete_03012024.pdf</t>
  </si>
  <si>
    <t>https://www.impots.gouv.fr/sites/default/files/media/1_metier/2_professionnel/EV/2_gestion/290_facturation_electronique/faq_fe_05_01_2024_vf.pdf?v=1719487503</t>
  </si>
  <si>
    <t>https://entreprendre.service-public.fr/actualites/A17853</t>
  </si>
  <si>
    <t>https://entreprendre.service-public.fr/vosdroits/F37369</t>
  </si>
  <si>
    <t>Domain</t>
  </si>
  <si>
    <t>Meilleur Prix</t>
  </si>
  <si>
    <t>Best_price</t>
  </si>
  <si>
    <t>Traffic</t>
  </si>
  <si>
    <t>RD</t>
  </si>
  <si>
    <t>TF</t>
  </si>
  <si>
    <t>CF</t>
  </si>
  <si>
    <t>TTF</t>
  </si>
  <si>
    <t>DR</t>
  </si>
  <si>
    <t>Top 3 Kws</t>
  </si>
  <si>
    <t>Top 4-10 Kws</t>
  </si>
  <si>
    <t>Traffic Value</t>
  </si>
  <si>
    <t>Gnews</t>
  </si>
  <si>
    <t>LF Value</t>
  </si>
  <si>
    <t>Title</t>
  </si>
  <si>
    <t>Backlinks</t>
  </si>
  <si>
    <t>Ref Ips</t>
  </si>
  <si>
    <t>Ref Subnets</t>
  </si>
  <si>
    <t>Ref Edu</t>
  </si>
  <si>
    <t>Ref Gov</t>
  </si>
  <si>
    <t>Languages</t>
  </si>
  <si>
    <t>Ref Languages</t>
  </si>
  <si>
    <t>UR</t>
  </si>
  <si>
    <t>AR</t>
  </si>
  <si>
    <t>Top 11-20 Kws</t>
  </si>
  <si>
    <t>Top 21-50 Kws</t>
  </si>
  <si>
    <t>Top 51+ Kws</t>
  </si>
  <si>
    <t>Top Location</t>
  </si>
  <si>
    <t>Paid Kws</t>
  </si>
  <si>
    <t>Ads Count</t>
  </si>
  <si>
    <t>Paid Traffic</t>
  </si>
  <si>
    <t>Paid Traffic Cost</t>
  </si>
  <si>
    <t>Date D'ajout</t>
  </si>
  <si>
    <t>Ereferer</t>
  </si>
  <si>
    <t>Linkavista</t>
  </si>
  <si>
    <t>Whitepress</t>
  </si>
  <si>
    <t>Develink</t>
  </si>
  <si>
    <t>Poprise</t>
  </si>
  <si>
    <t>Linksclub</t>
  </si>
  <si>
    <t>Collaborator</t>
  </si>
  <si>
    <t>Paperclub</t>
  </si>
  <si>
    <t>Soumettre</t>
  </si>
  <si>
    <t>Mistergoodlink</t>
  </si>
  <si>
    <t>123media</t>
  </si>
  <si>
    <t>1ereplace</t>
  </si>
  <si>
    <t>Boosterlink</t>
  </si>
  <si>
    <t>Linkpublishers</t>
  </si>
  <si>
    <t>Growwer</t>
  </si>
  <si>
    <t>Unancor</t>
  </si>
  <si>
    <t>Linkbroker</t>
  </si>
  <si>
    <t>Prensalink</t>
  </si>
  <si>
    <t>Prnews</t>
  </si>
  <si>
    <t>Backlinked</t>
  </si>
  <si>
    <t>Bazoom</t>
  </si>
  <si>
    <t>Purolink</t>
  </si>
  <si>
    <t>Motherlink</t>
  </si>
  <si>
    <t>Guestpostlinks</t>
  </si>
  <si>
    <t>Prposting</t>
  </si>
  <si>
    <t>Publisuites</t>
  </si>
  <si>
    <t>Meup</t>
  </si>
  <si>
    <t>Getalink</t>
  </si>
  <si>
    <t>bourseinside.fr</t>
  </si>
  <si>
    <t>poprise</t>
  </si>
  <si>
    <t>Computers/News and Media</t>
  </si>
  <si>
    <t>Bourse Inside - Investir en Bourse, actualités des sociétés, Mid &amp; Small Caps, Immobilier, Startup, Immobilier</t>
  </si>
  <si>
    <t>fr</t>
  </si>
  <si>
    <t>fr,en</t>
  </si>
  <si>
    <t>businessornot.fr</t>
  </si>
  <si>
    <t>develink</t>
  </si>
  <si>
    <t>Society/Politics</t>
  </si>
  <si>
    <t>Lancez votre projet digital : conseils, outils et stratégies pour entrepreneurs modernes</t>
  </si>
  <si>
    <t>fr,en,ru,th,de</t>
  </si>
  <si>
    <t>charlestech.fr</t>
  </si>
  <si>
    <t>ereferer</t>
  </si>
  <si>
    <t>Regional/Europe</t>
  </si>
  <si>
    <t>Tests high-tech, comparatifs et promos | Charles Tech</t>
  </si>
  <si>
    <t>en,fr,de,es,hu,nl,tr,pt,ru,it</t>
  </si>
  <si>
    <t>digitiz.fr</t>
  </si>
  <si>
    <t>Shopping/Consumer Electronics</t>
  </si>
  <si>
    <t>Digitiz - Trouvez les bonnes solutions pour réussir sur le web</t>
  </si>
  <si>
    <t>expertbanque.fr</t>
  </si>
  <si>
    <t>whitepress</t>
  </si>
  <si>
    <t>Health/Professions</t>
  </si>
  <si>
    <t>Expert Banque : Guide Finance &amp; Banque 2026 | Épargne, Crédit</t>
  </si>
  <si>
    <t>en,fr</t>
  </si>
  <si>
    <t>finance-heros.fr</t>
  </si>
  <si>
    <t>paperclub</t>
  </si>
  <si>
    <t>Business/Investing</t>
  </si>
  <si>
    <t>Finance Héros | Prenez les bonnes décisions financières !</t>
  </si>
  <si>
    <t>fr,zh,en</t>
  </si>
  <si>
    <t>hdfever.fr</t>
  </si>
  <si>
    <t>collaborator</t>
  </si>
  <si>
    <t>Business</t>
  </si>
  <si>
    <t>Accueil - HDFever</t>
  </si>
  <si>
    <t>fr,en,bg,es,el,ru,de,da,pl,it</t>
  </si>
  <si>
    <t>infonet.fr</t>
  </si>
  <si>
    <t>linkavista</t>
  </si>
  <si>
    <t>Infonet : Kbis, RCS, SIRET/SIREN, bilan - Informations Légales</t>
  </si>
  <si>
    <t>fr,en,de,es</t>
  </si>
  <si>
    <t>infos-byz.com</t>
  </si>
  <si>
    <t>Arts/Music</t>
  </si>
  <si>
    <t>itsocial.fr</t>
  </si>
  <si>
    <t>Computers/Software/Operating Systems</t>
  </si>
  <si>
    <t>Média des tendances &amp; usages IT, Tech et Métiers - IT SOCIAL</t>
  </si>
  <si>
    <t>en,fr,es,zh,de,it</t>
  </si>
  <si>
    <t>leparisien.fr</t>
  </si>
  <si>
    <t>News/Newspapers</t>
  </si>
  <si>
    <t>Actualités en direct et info en continu - Le Parisien</t>
  </si>
  <si>
    <t>fr,en,de,ko,pt,fa,ru</t>
  </si>
  <si>
    <t>leparticulier.lefigaro.fr</t>
  </si>
  <si>
    <t>Science/Social Sciences</t>
  </si>
  <si>
    <t>Actualité juridique, patrimoniale et pratique - Le Particulier</t>
  </si>
  <si>
    <t>lepoint.fr</t>
  </si>
  <si>
    <t>News/Magazines and E-zines</t>
  </si>
  <si>
    <t>Santé - L'actualité Santé – Le Point</t>
  </si>
  <si>
    <t>fr,en,pt,de,it,es,ru,ar,nl</t>
  </si>
  <si>
    <t>lessentieldeleco.fr</t>
  </si>
  <si>
    <t>L'Essentiel de l'Éco - Toute l'information sur les entreprises</t>
  </si>
  <si>
    <t>fr,en,de,zh,nl,es,th,hr,it</t>
  </si>
  <si>
    <t>logicielfrance.com</t>
  </si>
  <si>
    <t>Business/Employment</t>
  </si>
  <si>
    <t>en,fr,ar</t>
  </si>
  <si>
    <t>meilleurcomptable.fr</t>
  </si>
  <si>
    <t>Meilleur comptable : comparatif comptables, logiciels, comptes pro</t>
  </si>
  <si>
    <t>mondetech.fr</t>
  </si>
  <si>
    <t>bazoom</t>
  </si>
  <si>
    <t>MondeTech.fr - L'actualité tech et les innovations de demain</t>
  </si>
  <si>
    <t>fr,en,zh</t>
  </si>
  <si>
    <t>moneyvox.fr</t>
  </si>
  <si>
    <t>Computers/Software</t>
  </si>
  <si>
    <t>MoneyVox - Infos et comparatifs pour votre argent</t>
  </si>
  <si>
    <t>nos-comparateurs.fr</t>
  </si>
  <si>
    <t>Recreation/Travel</t>
  </si>
  <si>
    <t>Accueil - Comparateurs produits et services</t>
  </si>
  <si>
    <t>perspectives-conseils.com</t>
  </si>
  <si>
    <t>Business/Real Estate</t>
  </si>
  <si>
    <t>Perspectives Conseils | Cabinet d'experts-comptables dévoués</t>
  </si>
  <si>
    <t>en,fr,ar,es</t>
  </si>
  <si>
    <t>perspectives-retraite.com</t>
  </si>
  <si>
    <t>Perspectives Retraite | Cabinet conseil expert en retraite</t>
  </si>
  <si>
    <t>fr,en,ar,es</t>
  </si>
  <si>
    <t>pharrell.fr</t>
  </si>
  <si>
    <t>Reference/Museums</t>
  </si>
  <si>
    <t>Pharrell Business — Le média des entrepreneurs, investisseurs et indépendants</t>
  </si>
  <si>
    <t>fr,en,ko,ja,de,ru,fa,es,it,ar</t>
  </si>
  <si>
    <t>plateya.fr</t>
  </si>
  <si>
    <t>Business/Business Services</t>
  </si>
  <si>
    <t>Office managers et assistants administratifs en freelance - Plateya</t>
  </si>
  <si>
    <t>fr,en,ru</t>
  </si>
  <si>
    <t>fr,en,it,es,ar,zh,de,pt</t>
  </si>
  <si>
    <t>reussir-dscg.com</t>
  </si>
  <si>
    <t>Bienvenue sur Réussir-DCG-DSCG</t>
  </si>
  <si>
    <t>tool-advisor.fr</t>
  </si>
  <si>
    <t>Computers/Companies</t>
  </si>
  <si>
    <t>Tool Advisor | Comparaison et Analyses de Logiciels B2B</t>
  </si>
  <si>
    <t>fr,en,de,es,it,pt</t>
  </si>
  <si>
    <t>1comptabilite.fr</t>
  </si>
  <si>
    <t>Business/Financial Services</t>
  </si>
  <si>
    <t>1comptabilite.fr : le site des professionnels de la comptabilité</t>
  </si>
  <si>
    <t>appvizer.fr</t>
  </si>
  <si>
    <t>Appvizer | Média &amp; Comparateur de Logiciels pour les Professionnels</t>
  </si>
  <si>
    <t>en,it,de,pt,fr,es</t>
  </si>
  <si>
    <t>baticopro.com</t>
  </si>
  <si>
    <t>Home/Gardening</t>
  </si>
  <si>
    <t>Baticopro : tout pour les copropriétés : produits, lettres et guides conseils</t>
  </si>
  <si>
    <t>beaboss.fr</t>
  </si>
  <si>
    <t>Beaboss.fr le site des dirigeants de petites et moyennes entreprises le site des dirigeants de petites et moyennes entreprises - Beaboss.fr le site des dirigeants de petites et moyennes entreprises</t>
  </si>
  <si>
    <t>bfmtv.com</t>
  </si>
  <si>
    <t>Actualités en continu et info en direct et replay - BFM</t>
  </si>
  <si>
    <t>fr,en,de,ru</t>
  </si>
  <si>
    <t>c2ic.net</t>
  </si>
  <si>
    <t>linksclub</t>
  </si>
  <si>
    <t>Computers/Organizations</t>
  </si>
  <si>
    <t>C2ic Votre professionnel tech</t>
  </si>
  <si>
    <t>fr,en,pl</t>
  </si>
  <si>
    <t>cesdefrance.fr</t>
  </si>
  <si>
    <t>Society/Government</t>
  </si>
  <si>
    <t>Citoyen en Slip : Les dessous de l'économie française</t>
  </si>
  <si>
    <t>codeas.net</t>
  </si>
  <si>
    <t>Computers/Software/Retailers</t>
  </si>
  <si>
    <t>Codeas - Développement informatique</t>
  </si>
  <si>
    <t>compta-facile.com</t>
  </si>
  <si>
    <t>prensalink</t>
  </si>
  <si>
    <t>Compta Facile - La référence en comptabilité</t>
  </si>
  <si>
    <t>fr,en,ar,th</t>
  </si>
  <si>
    <t>compta-online.com</t>
  </si>
  <si>
    <t>Compta Online, s'informer, partager, évoluer</t>
  </si>
  <si>
    <t>comptareal.fr</t>
  </si>
  <si>
    <t>Shopping/Vehicles</t>
  </si>
  <si>
    <t>Comptareal -</t>
  </si>
  <si>
    <t>fr,en,ru,th</t>
  </si>
  <si>
    <t>compte-pro.com</t>
  </si>
  <si>
    <t>Compte-pro.com : Comparateur de banques et logiciels pro en ligne</t>
  </si>
  <si>
    <t>fr,en,it,es,de,th</t>
  </si>
  <si>
    <t>connectbanque.com</t>
  </si>
  <si>
    <t>💳 Comparateur de banques en ligne et services bancaires</t>
  </si>
  <si>
    <t>crowdlending.fr</t>
  </si>
  <si>
    <t>Computers/Internet/Web Design and Development</t>
  </si>
  <si>
    <t>Comment mieux épargner ? | Crowdlending.fr</t>
  </si>
  <si>
    <t>fr,en,es,nl,no,de,id,ru,vi</t>
  </si>
  <si>
    <t>cyfernet.org</t>
  </si>
  <si>
    <t>Home/Family</t>
  </si>
  <si>
    <t>Accueil - cyfernet.org</t>
  </si>
  <si>
    <t>decision-achats.fr</t>
  </si>
  <si>
    <t>Décision Achats, le site des acheteurs professionnels et des acheteurs publics - Decision-achats.fr</t>
  </si>
  <si>
    <t>fr,en,es</t>
  </si>
  <si>
    <t>europages.fr</t>
  </si>
  <si>
    <t>Business/Directories</t>
  </si>
  <si>
    <t>europages France – Marché Fournisseurs &amp; Grossistes B2B</t>
  </si>
  <si>
    <t>fr,en,de,nl,it,es,da</t>
  </si>
  <si>
    <t>externalisation-comptabilite.com</t>
  </si>
  <si>
    <t>Cabinet de comptabilité - Cabinet de comptabilité</t>
  </si>
  <si>
    <t>francetransactions.com</t>
  </si>
  <si>
    <t>FranceTransactions.com</t>
  </si>
  <si>
    <t>fr,en,de,fi,sv</t>
  </si>
  <si>
    <t>guidedelabanque.fr</t>
  </si>
  <si>
    <t>News/Media Industry</t>
  </si>
  <si>
    <t>Comparatifs des banques et services financiers en ligne</t>
  </si>
  <si>
    <t>en,fr,es,ar,ru</t>
  </si>
  <si>
    <t>habitatpresto.com</t>
  </si>
  <si>
    <t>soumettre</t>
  </si>
  <si>
    <t>Trouvez le bon Professionnel pour vos Travaux | Habitatpresto</t>
  </si>
  <si>
    <t>fr,en,es,nl,th</t>
  </si>
  <si>
    <t>ideal-investisseur.fr</t>
  </si>
  <si>
    <t>Marchés financiers &amp; Bourse – CAC 40, actions | Idéal Investisseur</t>
  </si>
  <si>
    <t>fr,en,de</t>
  </si>
  <si>
    <t>lafabriquedunet.fr</t>
  </si>
  <si>
    <t>La Fabrique du Net - Comparateur d'agences digitales et logiciels B2B</t>
  </si>
  <si>
    <t>fr,en,es,pt,de,it,nl,sv,la</t>
  </si>
  <si>
    <t>lejournaldelafinance.com</t>
  </si>
  <si>
    <t>Le Journal de la Finance – Actualités financières - Le Journal de la Finance</t>
  </si>
  <si>
    <t>fr,en,zh,es,ar</t>
  </si>
  <si>
    <t>lemonde.fr</t>
  </si>
  <si>
    <t>Le Monde.fr - Actualités et Infos en France et dans le monde</t>
  </si>
  <si>
    <t>fr,en,es,it,de</t>
  </si>
  <si>
    <t>fr,en,it,de,es,zh,pt,el,ru,sq</t>
  </si>
  <si>
    <t>leptidigital.fr</t>
  </si>
  <si>
    <t>meup</t>
  </si>
  <si>
    <t>LEPTIDIGITAL : Média &amp; Veille Marketing Digital</t>
  </si>
  <si>
    <t>fr,en,sk,ko,de,es,pt,it,pl,ru</t>
  </si>
  <si>
    <t>maddyness.com</t>
  </si>
  <si>
    <t>Society/Subcultures</t>
  </si>
  <si>
    <t>Maddyness - Le média pour comprendre l'économie de demain</t>
  </si>
  <si>
    <t>fr,ko,en</t>
  </si>
  <si>
    <t>netpublic.fr</t>
  </si>
  <si>
    <t>Home/Consumer Information</t>
  </si>
  <si>
    <t>Netpublic.fr : Banque, Assurance, Impôts | Domptez vos Finances !</t>
  </si>
  <si>
    <t>fr,en,pt</t>
  </si>
  <si>
    <t>panorabanques.com</t>
  </si>
  <si>
    <t>Computers/Internet/Resources</t>
  </si>
  <si>
    <t>Panorabanques : Comparateur de banques et de services bancaires</t>
  </si>
  <si>
    <t>pappers.fr</t>
  </si>
  <si>
    <t>boosterlink</t>
  </si>
  <si>
    <t>Pappers : Toute l'information gratuite sur les entreprises en France</t>
  </si>
  <si>
    <t>pme-web.com</t>
  </si>
  <si>
    <t>Computers/Hardware</t>
  </si>
  <si>
    <t>PME WEB | Les meilleurs outils du web</t>
  </si>
  <si>
    <t>presse-citron.net</t>
  </si>
  <si>
    <t>Presse-citron - Connectez-vous à l'innovation</t>
  </si>
  <si>
    <t>fr,de,en,es</t>
  </si>
  <si>
    <t>presticer.fr</t>
  </si>
  <si>
    <t>mistergoodlink</t>
  </si>
  <si>
    <t>Presticer : Ressources Humaines</t>
  </si>
  <si>
    <t>fr,en,ar</t>
  </si>
  <si>
    <t>reddit.com</t>
  </si>
  <si>
    <t>linkpublishers</t>
  </si>
  <si>
    <t>News</t>
  </si>
  <si>
    <t>Reddit - The heart of the internet</t>
  </si>
  <si>
    <t>en,vi,de,fr,es,id,pt,ru,tr,ar</t>
  </si>
  <si>
    <t>us</t>
  </si>
  <si>
    <t>revistaperil.com</t>
  </si>
  <si>
    <t>Transformez votre maison avec élégance durable</t>
  </si>
  <si>
    <t>fr,ru,en,ar,es</t>
  </si>
  <si>
    <t>societe.tech</t>
  </si>
  <si>
    <t>Societe.Tech | L'actualité entreprises &amp; économie en régions</t>
  </si>
  <si>
    <t>fr,en,ja,es,ar,de,it,ru</t>
  </si>
  <si>
    <t>sn</t>
  </si>
  <si>
    <t>techno-finance.fr</t>
  </si>
  <si>
    <t>TechnoFinance votre blog tech, entreprise et finance</t>
  </si>
  <si>
    <t>fr,da,en,br,th</t>
  </si>
  <si>
    <t>uris-rhone-alpes.org</t>
  </si>
  <si>
    <t>URIS Rhône Alpes - Entreprises de Rhône Alpes</t>
  </si>
  <si>
    <t>fr,en,it</t>
  </si>
  <si>
    <t>village-justice.com</t>
  </si>
  <si>
    <t>Society/Law</t>
  </si>
  <si>
    <t>Village de la Justice - 1er site spécialisé pour métiers du droit en accès libre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</si>
</sst>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5">
    <font>
      <sz val="10.0"/>
      <color rgb="FF000000"/>
      <name val="Arial"/>
      <scheme val="minor"/>
    </font>
    <font>
      <color theme="1"/>
      <name val="Arial"/>
      <scheme val="minor"/>
    </font>
    <font>
      <b/>
      <color theme="1"/>
      <name val="Arial"/>
    </font>
    <font>
      <u/>
      <color rgb="FF0000FF"/>
    </font>
    <font>
      <u/>
      <color rgb="FF1F1F1F"/>
      <name val="Google Sans Mono"/>
    </font>
  </fonts>
  <fills count="3">
    <fill>
      <patternFill patternType="none"/>
    </fill>
    <fill>
      <patternFill patternType="lightGray"/>
    </fill>
    <fill>
      <patternFill patternType="solid">
        <fgColor rgb="FFF0F4F9"/>
        <bgColor rgb="FFF0F4F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readingOrder="0"/>
    </xf>
    <xf borderId="0" fillId="2" fontId="4" numFmtId="0" xfId="0" applyAlignment="1" applyFill="1" applyFont="1">
      <alignment vertical="bottom"/>
    </xf>
    <xf borderId="0" fillId="0" fontId="1" numFmtId="0" xfId="0" applyFont="1"/>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acx.fr/dirigeant/bilan-retraite/" TargetMode="External"/><Relationship Id="rId194" Type="http://schemas.openxmlformats.org/officeDocument/2006/relationships/hyperlink" Target="https://groupe-cohortis.fr/actualites/afe-parmi-les-meilleurs-cabinets-comptables-de-france-2026/" TargetMode="External"/><Relationship Id="rId193" Type="http://schemas.openxmlformats.org/officeDocument/2006/relationships/hyperlink" Target="https://comparateur-efacturation.fr/guide/logiciel-facturation-electronique" TargetMode="External"/><Relationship Id="rId192" Type="http://schemas.openxmlformats.org/officeDocument/2006/relationships/hyperlink" Target="https://comparatif-compta.fr/" TargetMode="External"/><Relationship Id="rId191" Type="http://schemas.openxmlformats.org/officeDocument/2006/relationships/hyperlink" Target="https://www.hellomonnaie.fr/banque/banque-la-moins-chere/" TargetMode="External"/><Relationship Id="rId187" Type="http://schemas.openxmlformats.org/officeDocument/2006/relationships/hyperlink" Target="https://www.indy.fr/guide/facturation/logiciel/comparatif-logiciel-facturation/" TargetMode="External"/><Relationship Id="rId186" Type="http://schemas.openxmlformats.org/officeDocument/2006/relationships/hyperlink" Target="https://www.detective-banque.fr/meilleures-banques-en-ligne-pour-professionnels/" TargetMode="External"/><Relationship Id="rId185" Type="http://schemas.openxmlformats.org/officeDocument/2006/relationships/hyperlink" Target="https://www.dougs.fr/blog/liste-pa-facturation-electronique/" TargetMode="External"/><Relationship Id="rId184" Type="http://schemas.openxmlformats.org/officeDocument/2006/relationships/hyperlink" Target="https://www.fiducial.fr/fr/Actualites-FIDUCIAL/Palmares-2025-des-meilleurs-cabinets-d-expertise" TargetMode="External"/><Relationship Id="rId189" Type="http://schemas.openxmlformats.org/officeDocument/2006/relationships/hyperlink" Target="https://mon-e-facture.com/facturation-electronique/facturation-electronique-la-liste-des-plateformes-de-dematerialisation-partenaires-pdp-est-publiee/" TargetMode="External"/><Relationship Id="rId188" Type="http://schemas.openxmlformats.org/officeDocument/2006/relationships/hyperlink" Target="https://www.banquepro.fr/" TargetMode="External"/><Relationship Id="rId183" Type="http://schemas.openxmlformats.org/officeDocument/2006/relationships/hyperlink" Target="https://www.fiducial.fr/BanquePro/Blog/FIDUCIAL-Banque-elue-banque-la-moins-chere-pour-les-TPE-PME-en-2026" TargetMode="External"/><Relationship Id="rId182" Type="http://schemas.openxmlformats.org/officeDocument/2006/relationships/hyperlink" Target="https://www.expert-comptable-tpe.fr/" TargetMode="External"/><Relationship Id="rId181" Type="http://schemas.openxmlformats.org/officeDocument/2006/relationships/hyperlink" Target="https://www.francenum.gouv.fr/guides-et-conseils/gestion-des-ressources-humaines/systeme-dinformation-de-gestion-des-ressources-1" TargetMode="External"/><Relationship Id="rId180" Type="http://schemas.openxmlformats.org/officeDocument/2006/relationships/hyperlink" Target="https://www.advyse.fr/profil/expert-comptable-tpe/" TargetMode="External"/><Relationship Id="rId176" Type="http://schemas.openxmlformats.org/officeDocument/2006/relationships/hyperlink" Target="https://www.hlp-audit.fr/publications/meilleurs-cabinets-d-expertise-comptable/" TargetMode="External"/><Relationship Id="rId175" Type="http://schemas.openxmlformats.org/officeDocument/2006/relationships/hyperlink" Target="https://www.logiciel-de-facturation.com/" TargetMode="External"/><Relationship Id="rId174" Type="http://schemas.openxmlformats.org/officeDocument/2006/relationships/hyperlink" Target="https://www.impli.fr/comparatif/banque-pro" TargetMode="External"/><Relationship Id="rId173" Type="http://schemas.openxmlformats.org/officeDocument/2006/relationships/hyperlink" Target="https://www.comparatif-facture-electronique.fr/" TargetMode="External"/><Relationship Id="rId179" Type="http://schemas.openxmlformats.org/officeDocument/2006/relationships/hyperlink" Target="https://nord-pas-de-calais.cerfrance.fr/expertises/bilan-retraite" TargetMode="External"/><Relationship Id="rId178" Type="http://schemas.openxmlformats.org/officeDocument/2006/relationships/hyperlink" Target="https://www.sefreco.fr/accompagnement-pour-tpe-et-pme/" TargetMode="External"/><Relationship Id="rId177" Type="http://schemas.openxmlformats.org/officeDocument/2006/relationships/hyperlink" Target="https://www.docaposte.com/blog/article/liste-pdp" TargetMode="External"/><Relationship Id="rId198" Type="http://schemas.openxmlformats.org/officeDocument/2006/relationships/hyperlink" Target="https://go.sellsy.com/blog/meilleurs-logiciels-facturation-electronique" TargetMode="External"/><Relationship Id="rId197" Type="http://schemas.openxmlformats.org/officeDocument/2006/relationships/hyperlink" Target="https://www.naviso.fr/actualites-blog/meilleurs-logiciels-comptabilite-comparatif/" TargetMode="External"/><Relationship Id="rId196" Type="http://schemas.openxmlformats.org/officeDocument/2006/relationships/hyperlink" Target="https://www.captaincontrat.com/comptabilite/tenir-comptabilite/externalisation-comptable" TargetMode="External"/><Relationship Id="rId195" Type="http://schemas.openxmlformats.org/officeDocument/2006/relationships/hyperlink" Target="https://www.companeo.com/comptabilite-externalisee-expert-comptable/guide/l-externalisation-de-la-saisie-comptable" TargetMode="External"/><Relationship Id="rId199" Type="http://schemas.openxmlformats.org/officeDocument/2006/relationships/hyperlink" Target="https://www.loptimiste.fr/" TargetMode="External"/><Relationship Id="rId150" Type="http://schemas.openxmlformats.org/officeDocument/2006/relationships/hyperlink" Target="https://www.fiteco.com/actualites/fiteco-meilleur-cabinet-dexpertise-comptable-2026-la-relation-client-au-coeur-de-notre-reussite/" TargetMode="External"/><Relationship Id="rId392" Type="http://schemas.openxmlformats.org/officeDocument/2006/relationships/hyperlink" Target="https://comptoir-retraite.fr/" TargetMode="External"/><Relationship Id="rId391" Type="http://schemas.openxmlformats.org/officeDocument/2006/relationships/hyperlink" Target="https://www.carsat-alsacemoselle.fr/home/actifs/votre-retraite-etapes-cles/etre-accompagne-dans-sa-demande.html" TargetMode="External"/><Relationship Id="rId390" Type="http://schemas.openxmlformats.org/officeDocument/2006/relationships/hyperlink" Target="https://www.defiretraite.fr/notre-accompagnement/" TargetMode="External"/><Relationship Id="rId1" Type="http://schemas.openxmlformats.org/officeDocument/2006/relationships/hyperlink" Target="https://www.comptareal.fr/comparatif-expert-comptable-en-ligne-2025-avis-et-tarifs/" TargetMode="External"/><Relationship Id="rId2" Type="http://schemas.openxmlformats.org/officeDocument/2006/relationships/hyperlink" Target="https://logicielfrance.com/blog/comparatif-des-logiciels-de-comptabilite-pour-tpepme" TargetMode="External"/><Relationship Id="rId3" Type="http://schemas.openxmlformats.org/officeDocument/2006/relationships/hyperlink" Target="https://www.revistaperil.com/top-5-des-meilleures-banques-en-ligne-en-2026-laquelle-choisir-selon-votre-profil/" TargetMode="External"/><Relationship Id="rId149" Type="http://schemas.openxmlformats.org/officeDocument/2006/relationships/hyperlink" Target="https://selectra.info/finance/guides/banque-pro" TargetMode="External"/><Relationship Id="rId4" Type="http://schemas.openxmlformats.org/officeDocument/2006/relationships/hyperlink" Target="https://businessornot.fr/outils-articles/qonto-vs-shine-quelle-banque-pro-choisir-en-2026-comparatif-complet" TargetMode="External"/><Relationship Id="rId148" Type="http://schemas.openxmlformats.org/officeDocument/2006/relationships/hyperlink" Target="https://www.comparabanques.fr/banque-pro" TargetMode="External"/><Relationship Id="rId9" Type="http://schemas.openxmlformats.org/officeDocument/2006/relationships/hyperlink" Target="https://www.reddit.com/r/EntreprendreenFrance/comments/1rqsg2y/4000_de_compta_pour_un_dossier_z%C3%A9ro_complexit%C3%A9/" TargetMode="External"/><Relationship Id="rId143" Type="http://schemas.openxmlformats.org/officeDocument/2006/relationships/hyperlink" Target="https://www.indy.fr/guide/banque/meilleure/traditionnelle/" TargetMode="External"/><Relationship Id="rId385" Type="http://schemas.openxmlformats.org/officeDocument/2006/relationships/hyperlink" Target="https://comparepdp.com/articles/pdp-facturation-electronique" TargetMode="External"/><Relationship Id="rId142" Type="http://schemas.openxmlformats.org/officeDocument/2006/relationships/hyperlink" Target="https://www.banquepro.fr/comparatif/" TargetMode="External"/><Relationship Id="rId384" Type="http://schemas.openxmlformats.org/officeDocument/2006/relationships/hyperlink" Target="https://independant.io/liste-plateforme-dematerialisation-partenaire/" TargetMode="External"/><Relationship Id="rId141" Type="http://schemas.openxmlformats.org/officeDocument/2006/relationships/hyperlink" Target="https://www.lemonde.fr/idees/article/2025/06/06/les-banques-100-numeriques-sont-elles-un-risque-pour-la-stabilite-financiere_6610810_3232.html" TargetMode="External"/><Relationship Id="rId383" Type="http://schemas.openxmlformats.org/officeDocument/2006/relationships/hyperlink" Target="https://independant.io/comparateur/banque-pro/" TargetMode="External"/><Relationship Id="rId140" Type="http://schemas.openxmlformats.org/officeDocument/2006/relationships/hyperlink" Target="https://www.lemonde.fr/argent/article/2025/06/19/a-l-approche-de-la-retraite-quelles-priorites-pour-votre-argent_6614357_1657007.html" TargetMode="External"/><Relationship Id="rId382" Type="http://schemas.openxmlformats.org/officeDocument/2006/relationships/hyperlink" Target="https://www.esker.fr/blog/liste-candidat-pdp/" TargetMode="External"/><Relationship Id="rId5" Type="http://schemas.openxmlformats.org/officeDocument/2006/relationships/hyperlink" Target="https://www.societe.tech/metiers/comptabilite/experts-comptables-en-ligne/les-20-meilleurs-experts-comptables-en-ligne-comparatif-2025/" TargetMode="External"/><Relationship Id="rId147" Type="http://schemas.openxmlformats.org/officeDocument/2006/relationships/hyperlink" Target="https://quelle-banque-pro.fr/" TargetMode="External"/><Relationship Id="rId389" Type="http://schemas.openxmlformats.org/officeDocument/2006/relationships/hyperlink" Target="https://www.pour-les-personnes-agees.gouv.fr/beneficier-daides/les-aides-des-caisses-de-retraite" TargetMode="External"/><Relationship Id="rId6" Type="http://schemas.openxmlformats.org/officeDocument/2006/relationships/hyperlink" Target="https://www.externalisation-comptabilite.com/" TargetMode="External"/><Relationship Id="rId146" Type="http://schemas.openxmlformats.org/officeDocument/2006/relationships/hyperlink" Target="https://www.indy.fr/guide/banque/tarif/pro-moins-cher/" TargetMode="External"/><Relationship Id="rId388" Type="http://schemas.openxmlformats.org/officeDocument/2006/relationships/hyperlink" Target="https://www.eor.fr/accompagnement-et-assistance-retraite/" TargetMode="External"/><Relationship Id="rId7" Type="http://schemas.openxmlformats.org/officeDocument/2006/relationships/hyperlink" Target="https://www.reddit.com/r/PME_FR/comments/1s3ohca/un_bon_cabinet_comptable_%C3%A0_montpellier/" TargetMode="External"/><Relationship Id="rId145" Type="http://schemas.openxmlformats.org/officeDocument/2006/relationships/hyperlink" Target="https://www.indy.fr/guide/banque/meilleure/pro/" TargetMode="External"/><Relationship Id="rId387" Type="http://schemas.openxmlformats.org/officeDocument/2006/relationships/hyperlink" Target="https://www.eor.fr/" TargetMode="External"/><Relationship Id="rId8" Type="http://schemas.openxmlformats.org/officeDocument/2006/relationships/hyperlink" Target="https://www.reddit.com/r/FrenchTech/comments/1o6kb94/quel_logiciel_de_facturation_compta_pour_une_tpe/" TargetMode="External"/><Relationship Id="rId144" Type="http://schemas.openxmlformats.org/officeDocument/2006/relationships/hyperlink" Target="https://www.comparabanques.fr/comparatif-banque/banque-pro/logiciel-facturation" TargetMode="External"/><Relationship Id="rId386" Type="http://schemas.openxmlformats.org/officeDocument/2006/relationships/hyperlink" Target="https://www.legifiscal.fr/actualites-fiscales/3888-facturation-electronique-publication-liste-plateformes-dematerialisation-partenaires-immatriculees.html" TargetMode="External"/><Relationship Id="rId381" Type="http://schemas.openxmlformats.org/officeDocument/2006/relationships/hyperlink" Target="https://www.pennylane.com/fr/fiches-pratiques/compte-pro/est-il-possible-douvrir-un-compte-pro-sans-justificatif" TargetMode="External"/><Relationship Id="rId380" Type="http://schemas.openxmlformats.org/officeDocument/2006/relationships/hyperlink" Target="https://www.dougs.fr/" TargetMode="External"/><Relationship Id="rId139" Type="http://schemas.openxmlformats.org/officeDocument/2006/relationships/hyperlink" Target="https://www.lemonde.fr/argent/article/2024/06/03/comment-bien-optimiser-les-versements-sur-son-plan-d-epargne-retraite_6237008_1657007.html" TargetMode="External"/><Relationship Id="rId138" Type="http://schemas.openxmlformats.org/officeDocument/2006/relationships/hyperlink" Target="https://www.lemonde.fr/argent/article/2025/09/24/independants-comment-choisir-sa-banque-pro_6642706_1657007.html" TargetMode="External"/><Relationship Id="rId137" Type="http://schemas.openxmlformats.org/officeDocument/2006/relationships/hyperlink" Target="https://www.leparisien.fr/economie/business/chaque-entreprise-doit-choisir-sa-plateforme-agreee-anciennement-pdp-29-10-2025-MV2MLGIZJNDXDIHJPUQZL3K2DM.php" TargetMode="External"/><Relationship Id="rId379" Type="http://schemas.openxmlformats.org/officeDocument/2006/relationships/hyperlink" Target="https://fr.trustpilot.com/review/www.dougs.fr" TargetMode="External"/><Relationship Id="rId132" Type="http://schemas.openxmlformats.org/officeDocument/2006/relationships/hyperlink" Target="https://www.appvizer.fr/magazine/finance-comptabilite/facturation/liste-pdp" TargetMode="External"/><Relationship Id="rId374" Type="http://schemas.openxmlformats.org/officeDocument/2006/relationships/hyperlink" Target="https://www.tgs-france.fr/agences/cabinet-comptable-paris/" TargetMode="External"/><Relationship Id="rId131" Type="http://schemas.openxmlformats.org/officeDocument/2006/relationships/hyperlink" Target="https://www.appvizer.fr/magazine/finance-comptabilite/facturation/meilleur-logiciel-facturation-2021" TargetMode="External"/><Relationship Id="rId373" Type="http://schemas.openxmlformats.org/officeDocument/2006/relationships/hyperlink" Target="https://www.fiducial.fr/Banque/Compte-Pro-Creation-Entreprise" TargetMode="External"/><Relationship Id="rId130" Type="http://schemas.openxmlformats.org/officeDocument/2006/relationships/hyperlink" Target="https://www.appvizer.fr/magazine/ressources-humaines/paie/externalisation-paie" TargetMode="External"/><Relationship Id="rId372" Type="http://schemas.openxmlformats.org/officeDocument/2006/relationships/hyperlink" Target="https://www.fiducial.fr/Expert-comptable/Budget-previsionnel" TargetMode="External"/><Relationship Id="rId371" Type="http://schemas.openxmlformats.org/officeDocument/2006/relationships/hyperlink" Target="https://www.expert-comptable-tpe.fr/articles/je-developpe-mon-activite/le-previsionnel-dactivite/" TargetMode="External"/><Relationship Id="rId136" Type="http://schemas.openxmlformats.org/officeDocument/2006/relationships/hyperlink" Target="https://www.leparisien.fr/guide-shopping/finance-assurance/finance/shine-qonto-revolut-quel-est-le-meilleur-compte-pro-en-ligne-04-11-2025-BG7GJTLHQBHEZFQPGXX7G23BPE.php" TargetMode="External"/><Relationship Id="rId378" Type="http://schemas.openxmlformats.org/officeDocument/2006/relationships/hyperlink" Target="https://www.keobiz.fr/temoignages/" TargetMode="External"/><Relationship Id="rId135" Type="http://schemas.openxmlformats.org/officeDocument/2006/relationships/hyperlink" Target="https://www.leparisien.fr/guide-shopping/comparateur/comparatif-des-meilleures-banques-en-ligne-2026-laquelle-choisir-selon-votre-profil-13-03-2026-7YOH3FDMDRB3NPOYOEJ3H7AO7U.php" TargetMode="External"/><Relationship Id="rId377" Type="http://schemas.openxmlformats.org/officeDocument/2006/relationships/hyperlink" Target="https://www.keobiz.fr/le-mag/pdp-facturation-electronique/" TargetMode="External"/><Relationship Id="rId134" Type="http://schemas.openxmlformats.org/officeDocument/2006/relationships/hyperlink" Target="https://www.leparisien.fr/guide-shopping/comparateur/comparatif-des-meilleures-solutions-bancaires-pro-le-classement-2026-08-01-2026-J53KO4YNSZECHDTEGI6JKYTFJ4.php" TargetMode="External"/><Relationship Id="rId376" Type="http://schemas.openxmlformats.org/officeDocument/2006/relationships/hyperlink" Target="https://propulsebyca.fr/comptabilite/facture/electronique/pdp" TargetMode="External"/><Relationship Id="rId133" Type="http://schemas.openxmlformats.org/officeDocument/2006/relationships/hyperlink" Target="https://www.leparisien.fr/guide-shopping/finance-assurance/finance/meilleure-banques-pro-2026-quelle-est-la-meilleure-banque-selon-votre-activite-05-02-2026-ZIW5XHKZJNBFLHXYVUAKA5YBHA.php" TargetMode="External"/><Relationship Id="rId375" Type="http://schemas.openxmlformats.org/officeDocument/2006/relationships/hyperlink" Target="https://propulsebyca.fr/compte-pro/comparatif/banque-traditionnelle" TargetMode="External"/><Relationship Id="rId172" Type="http://schemas.openxmlformats.org/officeDocument/2006/relationships/hyperlink" Target="https://stackindep.fr/banque-pro/comparatif-banque-pro" TargetMode="External"/><Relationship Id="rId171" Type="http://schemas.openxmlformats.org/officeDocument/2006/relationships/hyperlink" Target="https://fr.wikipedia.org/wiki/Dougs" TargetMode="External"/><Relationship Id="rId170" Type="http://schemas.openxmlformats.org/officeDocument/2006/relationships/hyperlink" Target="https://www.experts-afe.fr/actualites/afe-parmi-les-meilleurs-cabinets-comptable-2026-2/" TargetMode="External"/><Relationship Id="rId165" Type="http://schemas.openxmlformats.org/officeDocument/2006/relationships/hyperlink" Target="https://www.primexis.fr/palmares-le-point-2026-primexis-distingue-parmi-les-meilleurs-cabinets-en-france/" TargetMode="External"/><Relationship Id="rId164" Type="http://schemas.openxmlformats.org/officeDocument/2006/relationships/hyperlink" Target="https://banque.meilleurtaux.com/comparateur-banque/comparatif-banque-pro.html" TargetMode="External"/><Relationship Id="rId163" Type="http://schemas.openxmlformats.org/officeDocument/2006/relationships/hyperlink" Target="https://entreprendre.service-public.fr/actualites/A17688" TargetMode="External"/><Relationship Id="rId162" Type="http://schemas.openxmlformats.org/officeDocument/2006/relationships/hyperlink" Target="https://www.impots.gouv.fr/facturation-electronique-et-plateformes-agreees" TargetMode="External"/><Relationship Id="rId169" Type="http://schemas.openxmlformats.org/officeDocument/2006/relationships/hyperlink" Target="https://www.quelle-pa.fr/" TargetMode="External"/><Relationship Id="rId168" Type="http://schemas.openxmlformats.org/officeDocument/2006/relationships/hyperlink" Target="https://comparatif-facture.fr/" TargetMode="External"/><Relationship Id="rId167" Type="http://schemas.openxmlformats.org/officeDocument/2006/relationships/hyperlink" Target="https://www.companeo.com/comptabilite-externalisee-expert-comptable/guide/tarif-d-un-expert-comptable" TargetMode="External"/><Relationship Id="rId166" Type="http://schemas.openxmlformats.org/officeDocument/2006/relationships/hyperlink" Target="https://www.visioretraite.com/" TargetMode="External"/><Relationship Id="rId161" Type="http://schemas.openxmlformats.org/officeDocument/2006/relationships/hyperlink" Target="https://www.indy.fr/guide/facturation/electronique/liste-pdp-immatriculees/" TargetMode="External"/><Relationship Id="rId160" Type="http://schemas.openxmlformats.org/officeDocument/2006/relationships/hyperlink" Target="https://comparepdp.com/" TargetMode="External"/><Relationship Id="rId159" Type="http://schemas.openxmlformats.org/officeDocument/2006/relationships/hyperlink" Target="https://www.pennylane.com/fr/fiches-pratiques/facture-electronique/liste-des-pdp" TargetMode="External"/><Relationship Id="rId154" Type="http://schemas.openxmlformats.org/officeDocument/2006/relationships/hyperlink" Target="https://www.indy.fr/guide/compte-bancaire/pro/comparateur/" TargetMode="External"/><Relationship Id="rId396" Type="http://schemas.openxmlformats.org/officeDocument/2006/relationships/hyperlink" Target="https://www.detective-banque.fr/banque/banque-pro/compte-pro-avec-logiciel-comptable/" TargetMode="External"/><Relationship Id="rId153" Type="http://schemas.openxmlformats.org/officeDocument/2006/relationships/hyperlink" Target="https://www.talenz.fr/palmares-des-meilleurs-cabinets-dexpertise-comptable-2026/" TargetMode="External"/><Relationship Id="rId395" Type="http://schemas.openxmlformats.org/officeDocument/2006/relationships/hyperlink" Target="https://www.detective-banque.fr/actualites/banque/banque-pro/changer-de-banque-pro-toutes-les-etapes-a-suivre/" TargetMode="External"/><Relationship Id="rId152" Type="http://schemas.openxmlformats.org/officeDocument/2006/relationships/hyperlink" Target="https://www.finarena.fr/conseils-pour-les-dirigeants/optimisation-retraite/" TargetMode="External"/><Relationship Id="rId394" Type="http://schemas.openxmlformats.org/officeDocument/2006/relationships/hyperlink" Target="https://www.detective-banque.fr/banque/banque-pro/changer-de-compte-pro/" TargetMode="External"/><Relationship Id="rId151" Type="http://schemas.openxmlformats.org/officeDocument/2006/relationships/hyperlink" Target="https://www.tgs-france.fr/actualites/tgs-france-parmi-meilleurs-cabinets-expertise-comptable-2026-le-point/" TargetMode="External"/><Relationship Id="rId393" Type="http://schemas.openxmlformats.org/officeDocument/2006/relationships/hyperlink" Target="https://www.carsat-pl.fr/home/actif/retraite-droits-demarches/demander-votre-retraite/accompagnement-drl.html" TargetMode="External"/><Relationship Id="rId158" Type="http://schemas.openxmlformats.org/officeDocument/2006/relationships/hyperlink" Target="https://normandie-ouest.cerfrance.fr/actualites/cerfrance-meilleur-cabinet-expertise-comptable-2026" TargetMode="External"/><Relationship Id="rId157" Type="http://schemas.openxmlformats.org/officeDocument/2006/relationships/hyperlink" Target="https://www.strategie-patrimoine.fr/mon-patrimoine-professionnel/planifier-ma-retraite-en-tant-que-dirigeant/" TargetMode="External"/><Relationship Id="rId399" Type="http://schemas.openxmlformats.org/officeDocument/2006/relationships/hyperlink" Target="https://www.detective-banque.fr/banque/banque-pro/ouvrir-un-compte-bancaire-societe/" TargetMode="External"/><Relationship Id="rId156" Type="http://schemas.openxmlformats.org/officeDocument/2006/relationships/hyperlink" Target="https://www.fiducial.fr/fr/Actualites-FIDUCIAL/FIDUCIAL-une-nouvelle-fois-distingue-parmi-les-meilleurs-cabinets-comptables-de-France" TargetMode="External"/><Relationship Id="rId398" Type="http://schemas.openxmlformats.org/officeDocument/2006/relationships/hyperlink" Target="https://www.detective-banque.fr/quelle-banque-en-ligne-choisir/" TargetMode="External"/><Relationship Id="rId155" Type="http://schemas.openxmlformats.org/officeDocument/2006/relationships/hyperlink" Target="https://www.expert-comptable-tpe.fr/articles/le-cabinet-comptable-100-tpe/" TargetMode="External"/><Relationship Id="rId397" Type="http://schemas.openxmlformats.org/officeDocument/2006/relationships/hyperlink" Target="https://www.detective-banque.fr/banque/banque-pro/ouvrir-un-compte-entreprise/" TargetMode="External"/><Relationship Id="rId808" Type="http://schemas.openxmlformats.org/officeDocument/2006/relationships/hyperlink" Target="https://bourdatfinance.com/services/confiez-nous-la-creation-de-votre-entreprise/" TargetMode="External"/><Relationship Id="rId807" Type="http://schemas.openxmlformats.org/officeDocument/2006/relationships/hyperlink" Target="https://comeon-expert.com/creation-dentreprise/" TargetMode="External"/><Relationship Id="rId806" Type="http://schemas.openxmlformats.org/officeDocument/2006/relationships/hyperlink" Target="https://selectra.info/finance/guides/banque-en-ligne" TargetMode="External"/><Relationship Id="rId805" Type="http://schemas.openxmlformats.org/officeDocument/2006/relationships/hyperlink" Target="https://selectra.info/finance/guides/banque-pro/logiciel-facturation" TargetMode="External"/><Relationship Id="rId809" Type="http://schemas.openxmlformats.org/officeDocument/2006/relationships/hyperlink" Target="https://www.cabinet-d-expertcomptable.com/" TargetMode="External"/><Relationship Id="rId800" Type="http://schemas.openxmlformats.org/officeDocument/2006/relationships/hyperlink" Target="https://nord-pas-de-calais.cerfrance.fr/metiers/tpe-pme" TargetMode="External"/><Relationship Id="rId804" Type="http://schemas.openxmlformats.org/officeDocument/2006/relationships/hyperlink" Target="https://www.tide.co/fr-FR/blog/compte-pro-et-banque/frais-bancaire-compte-pro/" TargetMode="External"/><Relationship Id="rId803" Type="http://schemas.openxmlformats.org/officeDocument/2006/relationships/hyperlink" Target="https://coligny.fr/expertises/dirigeant-entreprise/" TargetMode="External"/><Relationship Id="rId802" Type="http://schemas.openxmlformats.org/officeDocument/2006/relationships/hyperlink" Target="https://www.aeterniapatrimoine.fr/je-suis-chef-dentreprise/epargne-retraite-dirigeants-securisez-votre-avenir-financier/" TargetMode="External"/><Relationship Id="rId801" Type="http://schemas.openxmlformats.org/officeDocument/2006/relationships/hyperlink" Target="https://nord-pas-de-calais.cerfrance.fr/pages/facture-electronique-obligatoire-etes-vous-pret-pour-2026" TargetMode="External"/><Relationship Id="rId40" Type="http://schemas.openxmlformats.org/officeDocument/2006/relationships/hyperlink" Target="https://digitiz.fr/banques-en-ligne-professionnelles/" TargetMode="External"/><Relationship Id="rId42" Type="http://schemas.openxmlformats.org/officeDocument/2006/relationships/hyperlink" Target="https://digitiz.fr/logiciels-gestion-tpe-pme/" TargetMode="External"/><Relationship Id="rId41" Type="http://schemas.openxmlformats.org/officeDocument/2006/relationships/hyperlink" Target="https://digitiz.fr/plateformes-dematerialisation-partenaire-agrees/" TargetMode="External"/><Relationship Id="rId44" Type="http://schemas.openxmlformats.org/officeDocument/2006/relationships/hyperlink" Target="https://www.compte-pro.com/quel-est-le-meilleur-compte-pro-avec-outil-de-facturation" TargetMode="External"/><Relationship Id="rId43" Type="http://schemas.openxmlformats.org/officeDocument/2006/relationships/hyperlink" Target="https://lessentieldeleco.fr/5652-liste-des-10-principaux-cabinets-comptables-en-france/" TargetMode="External"/><Relationship Id="rId46" Type="http://schemas.openxmlformats.org/officeDocument/2006/relationships/hyperlink" Target="https://www.compte-pro.com/compte-pro-avec-creation-dentreprise-incluse-lequel-choisir" TargetMode="External"/><Relationship Id="rId45" Type="http://schemas.openxmlformats.org/officeDocument/2006/relationships/hyperlink" Target="https://www.compte-pro.com/choisir-son-expert-comptable-en-ligne" TargetMode="External"/><Relationship Id="rId509" Type="http://schemas.openxmlformats.org/officeDocument/2006/relationships/hyperlink" Target="https://www.smavocat.fr/droit-des-affaires" TargetMode="External"/><Relationship Id="rId508" Type="http://schemas.openxmlformats.org/officeDocument/2006/relationships/hyperlink" Target="https://www.auditpl.com/" TargetMode="External"/><Relationship Id="rId503" Type="http://schemas.openxmlformats.org/officeDocument/2006/relationships/hyperlink" Target="https://www.proxi-expert-comptable.fr/pages/maine-et-loire-49" TargetMode="External"/><Relationship Id="rId745" Type="http://schemas.openxmlformats.org/officeDocument/2006/relationships/hyperlink" Target="https://milesopedia.fr/guides/meilleures-banques-pros-france/" TargetMode="External"/><Relationship Id="rId502" Type="http://schemas.openxmlformats.org/officeDocument/2006/relationships/hyperlink" Target="https://www.cabinet-soveco.fr/" TargetMode="External"/><Relationship Id="rId744" Type="http://schemas.openxmlformats.org/officeDocument/2006/relationships/hyperlink" Target="https://www.hellobankpro.fr/fr/devenir-client/creer-son-entreprise" TargetMode="External"/><Relationship Id="rId501" Type="http://schemas.openxmlformats.org/officeDocument/2006/relationships/hyperlink" Target="https://www.sefior.fr/externalisation-de-la-paie-la-rentabilite-face-a-la-gestion-interne/" TargetMode="External"/><Relationship Id="rId743" Type="http://schemas.openxmlformats.org/officeDocument/2006/relationships/hyperlink" Target="https://www.hellobankpro.fr/fr/banque-pro/compte-professionnel" TargetMode="External"/><Relationship Id="rId500" Type="http://schemas.openxmlformats.org/officeDocument/2006/relationships/hyperlink" Target="https://www.payjob.fr/conseils/gerer-la-paie-en-interne-ou-en-externe" TargetMode="External"/><Relationship Id="rId742" Type="http://schemas.openxmlformats.org/officeDocument/2006/relationships/hyperlink" Target="https://www.hellobankpro.fr/fr/services-pro/facturation-electronique" TargetMode="External"/><Relationship Id="rId507" Type="http://schemas.openxmlformats.org/officeDocument/2006/relationships/hyperlink" Target="https://www.gesco-sa.fr/" TargetMode="External"/><Relationship Id="rId749" Type="http://schemas.openxmlformats.org/officeDocument/2006/relationships/hyperlink" Target="https://gt-expertise.fr/facturation-electronique/" TargetMode="External"/><Relationship Id="rId506" Type="http://schemas.openxmlformats.org/officeDocument/2006/relationships/hyperlink" Target="https://www.polarisconseils.com/" TargetMode="External"/><Relationship Id="rId748" Type="http://schemas.openxmlformats.org/officeDocument/2006/relationships/hyperlink" Target="https://altis-conseil.fr/strategie-retraite-chef-dentreprise/" TargetMode="External"/><Relationship Id="rId505" Type="http://schemas.openxmlformats.org/officeDocument/2006/relationships/hyperlink" Target="https://www.ideo-conseil.fr/" TargetMode="External"/><Relationship Id="rId747" Type="http://schemas.openxmlformats.org/officeDocument/2006/relationships/hyperlink" Target="https://altis-conseil.fr/retraite-dirigeant-sas-assimile-salarie/" TargetMode="External"/><Relationship Id="rId504" Type="http://schemas.openxmlformats.org/officeDocument/2006/relationships/hyperlink" Target="https://kallianceconseil.fr/" TargetMode="External"/><Relationship Id="rId746" Type="http://schemas.openxmlformats.org/officeDocument/2006/relationships/hyperlink" Target="https://www.thebaide-conseils.fr/reforme-retraites-dirigeants/" TargetMode="External"/><Relationship Id="rId48" Type="http://schemas.openxmlformats.org/officeDocument/2006/relationships/hyperlink" Target="https://www.compte-pro.com/comment-ouvrir-un-compte-pro-sans-kbis-est-ce-possible" TargetMode="External"/><Relationship Id="rId47" Type="http://schemas.openxmlformats.org/officeDocument/2006/relationships/hyperlink" Target="https://www.compte-pro.com/creation-dentreprise-comment-choisir-sa-banque" TargetMode="External"/><Relationship Id="rId49" Type="http://schemas.openxmlformats.org/officeDocument/2006/relationships/hyperlink" Target="https://www.compte-pro.com/comment-ouvrir-un-compte-bancaire-professionnel" TargetMode="External"/><Relationship Id="rId741" Type="http://schemas.openxmlformats.org/officeDocument/2006/relationships/hyperlink" Target="https://www.cabinet-aac.fr/actualite-du-mois/transformation-digitale/52-actualite" TargetMode="External"/><Relationship Id="rId740" Type="http://schemas.openxmlformats.org/officeDocument/2006/relationships/hyperlink" Target="https://pdp.fr/" TargetMode="External"/><Relationship Id="rId31" Type="http://schemas.openxmlformats.org/officeDocument/2006/relationships/hyperlink" Target="https://www.crowdlending.fr/choisir-une-banque-en-ligne-pour-le-depot-de-votre-capital-social-guide-de-comparaison/" TargetMode="External"/><Relationship Id="rId30" Type="http://schemas.openxmlformats.org/officeDocument/2006/relationships/hyperlink" Target="https://perspectives-conseils.com/expertise-comptable/optimisation-fiscale/" TargetMode="External"/><Relationship Id="rId33" Type="http://schemas.openxmlformats.org/officeDocument/2006/relationships/hyperlink" Target="https://pharrell.fr/banque-pro-comparatif.html" TargetMode="External"/><Relationship Id="rId32" Type="http://schemas.openxmlformats.org/officeDocument/2006/relationships/hyperlink" Target="https://charlestech.fr/facturation-electronique-comment-se-mettre-en-conformite-avec-la-nouvelle-norme/" TargetMode="External"/><Relationship Id="rId35" Type="http://schemas.openxmlformats.org/officeDocument/2006/relationships/hyperlink" Target="https://perspectives-retraite.com/" TargetMode="External"/><Relationship Id="rId34" Type="http://schemas.openxmlformats.org/officeDocument/2006/relationships/hyperlink" Target="https://pharrell.fr/guide-facturation-electronique-2026.html" TargetMode="External"/><Relationship Id="rId739" Type="http://schemas.openxmlformats.org/officeDocument/2006/relationships/hyperlink" Target="https://comptactis.fr/wp-content/uploads/2025/06/COMPTACTIS-OEC-Facturation-electronique_brochure-2025-1.pdf" TargetMode="External"/><Relationship Id="rId734" Type="http://schemas.openxmlformats.org/officeDocument/2006/relationships/hyperlink" Target="https://www.tout-pour-la-gestion.com/integrateur-revendeur/reforme-de-la-facturation-electronique-pdp-calendrier-phases-defis-avantages-et-consequences-pour-les-pme-et-tpe/" TargetMode="External"/><Relationship Id="rId976" Type="http://schemas.openxmlformats.org/officeDocument/2006/relationships/hyperlink" Target="https://entreprendre.service-public.fr/vosdroits/F37369" TargetMode="External"/><Relationship Id="rId733" Type="http://schemas.openxmlformats.org/officeDocument/2006/relationships/hyperlink" Target="https://www.efysoft.fr/" TargetMode="External"/><Relationship Id="rId975" Type="http://schemas.openxmlformats.org/officeDocument/2006/relationships/hyperlink" Target="https://entreprendre.service-public.fr/actualites/A17853" TargetMode="External"/><Relationship Id="rId732" Type="http://schemas.openxmlformats.org/officeDocument/2006/relationships/hyperlink" Target="https://www.facturconform.fr/guide/choisir-sa-plateforme-pdp" TargetMode="External"/><Relationship Id="rId974" Type="http://schemas.openxmlformats.org/officeDocument/2006/relationships/hyperlink" Target="https://www.impots.gouv.fr/sites/default/files/media/1_metier/2_professionnel/EV/2_gestion/290_facturation_electronique/faq_fe_05_01_2024_vf.pdf?v=1719487503" TargetMode="External"/><Relationship Id="rId731" Type="http://schemas.openxmlformats.org/officeDocument/2006/relationships/hyperlink" Target="https://maisontpe.fr/" TargetMode="External"/><Relationship Id="rId973" Type="http://schemas.openxmlformats.org/officeDocument/2006/relationships/hyperlink" Target="https://www.impots.gouv.fr/sites/default/files/media/1_metier/2_professionnel/EV/2_gestion/290_facturation_electronique/fiche-3_tpe_a-partir-de-quand-mon-entreprise-doit-etre-prete_03012024.pdf" TargetMode="External"/><Relationship Id="rId738" Type="http://schemas.openxmlformats.org/officeDocument/2006/relationships/hyperlink" Target="https://www.tiime.fr/plateforme-dematerialisation-partenaire-pdp" TargetMode="External"/><Relationship Id="rId737" Type="http://schemas.openxmlformats.org/officeDocument/2006/relationships/hyperlink" Target="https://www.prodwaregroup.com/fr-fr/solutions/facture-electronique/" TargetMode="External"/><Relationship Id="rId736" Type="http://schemas.openxmlformats.org/officeDocument/2006/relationships/hyperlink" Target="https://help.thais-pms.fr/fr/article/facturation-electronique-pdp-cs8hnj/" TargetMode="External"/><Relationship Id="rId735" Type="http://schemas.openxmlformats.org/officeDocument/2006/relationships/hyperlink" Target="https://www.axys-consultants.com/expertises/cabinet-conseil-finance/facturation-electronique/" TargetMode="External"/><Relationship Id="rId977" Type="http://schemas.openxmlformats.org/officeDocument/2006/relationships/drawing" Target="../drawings/drawing1.xml"/><Relationship Id="rId37" Type="http://schemas.openxmlformats.org/officeDocument/2006/relationships/hyperlink" Target="https://www.cyfernet.org/les-5-meilleurs-logiciels-de-facturation-et-de-comptabilite/" TargetMode="External"/><Relationship Id="rId36" Type="http://schemas.openxmlformats.org/officeDocument/2006/relationships/hyperlink" Target="https://perspectives-retraite.com/rachat-trimestres-retraite/" TargetMode="External"/><Relationship Id="rId39" Type="http://schemas.openxmlformats.org/officeDocument/2006/relationships/hyperlink" Target="https://www.cesdefrance.fr/finances-personnelles/evitez-les-pieges-fiscaux-pour-vos-plus-values-et-votre-retraite-de-dirigeant-grace-aux-conseils-dun-expert/" TargetMode="External"/><Relationship Id="rId38" Type="http://schemas.openxmlformats.org/officeDocument/2006/relationships/hyperlink" Target="https://hdfever.fr/la-transformation-digitale-du-cabinet-expertise-comptable-outils-et-criteres-pour-choisir-en-2026" TargetMode="External"/><Relationship Id="rId730" Type="http://schemas.openxmlformats.org/officeDocument/2006/relationships/hyperlink" Target="https://tlpaie.com/" TargetMode="External"/><Relationship Id="rId972" Type="http://schemas.openxmlformats.org/officeDocument/2006/relationships/hyperlink" Target="https://www.impots.gouv.fr/sites/default/files/media/1_metier/2_professionnel/EV/2_gestion/290_facturation_electronique/fiche-3_tpe_a-partir-de-quand-mon-entreprise-doit-etre-prete_octobre-2024.pdf" TargetMode="External"/><Relationship Id="rId971" Type="http://schemas.openxmlformats.org/officeDocument/2006/relationships/hyperlink" Target="https://www.impots.gouv.fr/sites/default/files/media/1_metier/2_professionnel/EV/2_gestion/290_facturation_electronique/fiche-1_que-va-t-il-se-passer-pour-mon-entreprise_octobre-2024.pdf" TargetMode="External"/><Relationship Id="rId970" Type="http://schemas.openxmlformats.org/officeDocument/2006/relationships/hyperlink" Target="https://www.impots.gouv.fr/liste-des-plateformes-agreees-immatriculees" TargetMode="External"/><Relationship Id="rId20" Type="http://schemas.openxmlformats.org/officeDocument/2006/relationships/hyperlink" Target="https://reussir-dscg.com/quels-sont-les-meilleurs-cabinets-comptables-en-ligne-pour-les-independants-et-tpe" TargetMode="External"/><Relationship Id="rId22" Type="http://schemas.openxmlformats.org/officeDocument/2006/relationships/hyperlink" Target="https://www.techno-finance.fr/avis-comptable-ligne-choisir-meilleur-expert-entreprise/" TargetMode="External"/><Relationship Id="rId21" Type="http://schemas.openxmlformats.org/officeDocument/2006/relationships/hyperlink" Target="https://www.presticer.fr/2026/03/10/externalisation-paie-top-5-cabinets-2026/" TargetMode="External"/><Relationship Id="rId24" Type="http://schemas.openxmlformats.org/officeDocument/2006/relationships/hyperlink" Target="https://www.uris-rhone-alpes.org/les-societes-de-credits-les-plus-interessantes-pour-faire-un-emprunt-en-rhone-alpes.html" TargetMode="External"/><Relationship Id="rId23" Type="http://schemas.openxmlformats.org/officeDocument/2006/relationships/hyperlink" Target="https://expertbanque.fr/banques/guide-complet-choisir-sa-banque-en-ligne-en-2026/" TargetMode="External"/><Relationship Id="rId525" Type="http://schemas.openxmlformats.org/officeDocument/2006/relationships/hyperlink" Target="https://www.sapiendo-retraite.fr/calcul-retraite/bilan-retraite-individuel" TargetMode="External"/><Relationship Id="rId767" Type="http://schemas.openxmlformats.org/officeDocument/2006/relationships/hyperlink" Target="https://www.economie.gouv.fr/actualites/facturation-electronique-la-liste-des-101-premieres-plateformes-agreees-est-disponible" TargetMode="External"/><Relationship Id="rId524" Type="http://schemas.openxmlformats.org/officeDocument/2006/relationships/hyperlink" Target="https://www.sapiendo-retraite.fr/calcul-retraite/bilan-retraite" TargetMode="External"/><Relationship Id="rId766" Type="http://schemas.openxmlformats.org/officeDocument/2006/relationships/hyperlink" Target="https://www.economie.gouv.fr/cedef/fiches-pratiques/laide-la-mobilite-bancaire" TargetMode="External"/><Relationship Id="rId523" Type="http://schemas.openxmlformats.org/officeDocument/2006/relationships/hyperlink" Target="https://www.sapiendo-retraite.fr/conseil-calcul-retraite" TargetMode="External"/><Relationship Id="rId765" Type="http://schemas.openxmlformats.org/officeDocument/2006/relationships/hyperlink" Target="https://www.economie.gouv.fr/particuliers/gerer-mon-argent/gerer-mon-budget-et-mon-epargne/comment-changer-de-banque" TargetMode="External"/><Relationship Id="rId522" Type="http://schemas.openxmlformats.org/officeDocument/2006/relationships/hyperlink" Target="https://www.retraite-consulting.fr/" TargetMode="External"/><Relationship Id="rId764" Type="http://schemas.openxmlformats.org/officeDocument/2006/relationships/hyperlink" Target="https://www.mycxp.fr/actus/factures-electroniques-liste-des-plateformes-agreees/" TargetMode="External"/><Relationship Id="rId529" Type="http://schemas.openxmlformats.org/officeDocument/2006/relationships/hyperlink" Target="https://www.orthemis-avocats.com/droit-des-societes/" TargetMode="External"/><Relationship Id="rId528" Type="http://schemas.openxmlformats.org/officeDocument/2006/relationships/hyperlink" Target="https://www.aepgestion.fr/combien-coute-lexternalisation-de-la-paie-analyse-des-tarifs/" TargetMode="External"/><Relationship Id="rId527" Type="http://schemas.openxmlformats.org/officeDocument/2006/relationships/hyperlink" Target="https://www.afex-experts-comptables.fr/expert-comptable-tpe-et-pme/" TargetMode="External"/><Relationship Id="rId769" Type="http://schemas.openxmlformats.org/officeDocument/2006/relationships/hyperlink" Target="https://www.economie.gouv.fr/tout-savoir-sur-la-facturation-electronique-pour-les-entreprises" TargetMode="External"/><Relationship Id="rId526" Type="http://schemas.openxmlformats.org/officeDocument/2006/relationships/hyperlink" Target="https://cabinet-l.fr/" TargetMode="External"/><Relationship Id="rId768" Type="http://schemas.openxmlformats.org/officeDocument/2006/relationships/hyperlink" Target="https://www.economie.gouv.fr/cedef/fiches-pratiques/commande-publique-la-facturation-electronique" TargetMode="External"/><Relationship Id="rId26" Type="http://schemas.openxmlformats.org/officeDocument/2006/relationships/hyperlink" Target="https://www.lejournaldelafinance.com/credit-tpe-banques/" TargetMode="External"/><Relationship Id="rId25" Type="http://schemas.openxmlformats.org/officeDocument/2006/relationships/hyperlink" Target="https://meilleurcomptable.fr/meilleurs-comptables-en-ligne/" TargetMode="External"/><Relationship Id="rId28" Type="http://schemas.openxmlformats.org/officeDocument/2006/relationships/hyperlink" Target="https://nos-comparateurs.fr/meilleur-logiciel-de-facturation/" TargetMode="External"/><Relationship Id="rId27" Type="http://schemas.openxmlformats.org/officeDocument/2006/relationships/hyperlink" Target="https://www.1comptabilite.fr/agc-perspectives-angers.html" TargetMode="External"/><Relationship Id="rId521" Type="http://schemas.openxmlformats.org/officeDocument/2006/relationships/hyperlink" Target="https://www.retraite-patrimoine.fr/services/bilan-retraite" TargetMode="External"/><Relationship Id="rId763" Type="http://schemas.openxmlformats.org/officeDocument/2006/relationships/hyperlink" Target="https://www.bycome.fr/meilleures-banque-pro-en-ligne.html" TargetMode="External"/><Relationship Id="rId29" Type="http://schemas.openxmlformats.org/officeDocument/2006/relationships/hyperlink" Target="https://perspectives-conseils.com/bilan-retraite/" TargetMode="External"/><Relationship Id="rId520" Type="http://schemas.openxmlformats.org/officeDocument/2006/relationships/hyperlink" Target="https://ems-avocats.fr/avocat-affaires/" TargetMode="External"/><Relationship Id="rId762" Type="http://schemas.openxmlformats.org/officeDocument/2006/relationships/hyperlink" Target="https://dms-invest.fr/meilleure-banque-pro/" TargetMode="External"/><Relationship Id="rId761" Type="http://schemas.openxmlformats.org/officeDocument/2006/relationships/hyperlink" Target="https://www.obat.fr/blog/neobanque-pro-comparatif/" TargetMode="External"/><Relationship Id="rId760" Type="http://schemas.openxmlformats.org/officeDocument/2006/relationships/hyperlink" Target="https://www.obat.fr/blog/logiciel-facturation-gratuit/" TargetMode="External"/><Relationship Id="rId11" Type="http://schemas.openxmlformats.org/officeDocument/2006/relationships/hyperlink" Target="https://www.reddit.com/r/viedunentrepreneur/comments/1qde3d4/banque_pro_en_ligne_on_termine_le_d%C3%A9bat_qonto_vs/" TargetMode="External"/><Relationship Id="rId10" Type="http://schemas.openxmlformats.org/officeDocument/2006/relationships/hyperlink" Target="https://www.reddit.com/r/Comptabilite/comments/1r4m1v4/comment_choisissez_vous_votre_expertcomptable/" TargetMode="External"/><Relationship Id="rId13" Type="http://schemas.openxmlformats.org/officeDocument/2006/relationships/hyperlink" Target="https://www.reddit.com/r/vosfinances/comments/1r9r0x1/facturation_%C3%A9lectronique_obligatoire_en_sept_2026/" TargetMode="External"/><Relationship Id="rId12" Type="http://schemas.openxmlformats.org/officeDocument/2006/relationships/hyperlink" Target="https://www.reddit.com/r/AskFrance/comments/1oe0769/comment_g%C3%A9rezvous_la_paie_et_les_cong%C3%A9s_de_vos/" TargetMode="External"/><Relationship Id="rId519" Type="http://schemas.openxmlformats.org/officeDocument/2006/relationships/hyperlink" Target="https://www.nmcg.fr/cabinet-avocats-affaires/" TargetMode="External"/><Relationship Id="rId514" Type="http://schemas.openxmlformats.org/officeDocument/2006/relationships/hyperlink" Target="https://www.cabinet-toh.com/avocat-en-droit-des-affaires/" TargetMode="External"/><Relationship Id="rId756" Type="http://schemas.openxmlformats.org/officeDocument/2006/relationships/hyperlink" Target="https://www.kompio.fr/" TargetMode="External"/><Relationship Id="rId513" Type="http://schemas.openxmlformats.org/officeDocument/2006/relationships/hyperlink" Target="https://www.haas-avocats.com/nos-competences/avocats-en-droit-des-affaires/" TargetMode="External"/><Relationship Id="rId755" Type="http://schemas.openxmlformats.org/officeDocument/2006/relationships/hyperlink" Target="https://www.vos-expertscomptables.fr/" TargetMode="External"/><Relationship Id="rId512" Type="http://schemas.openxmlformats.org/officeDocument/2006/relationships/hyperlink" Target="https://www.haas-avocats.com/avocats-droit-des-affaires/" TargetMode="External"/><Relationship Id="rId754" Type="http://schemas.openxmlformats.org/officeDocument/2006/relationships/hyperlink" Target="https://oranova-conseil.fr/expert-comptable-petites-entreprises/" TargetMode="External"/><Relationship Id="rId511" Type="http://schemas.openxmlformats.org/officeDocument/2006/relationships/hyperlink" Target="https://www.cabinet-themis-avocats.fr/droit-des-affaires" TargetMode="External"/><Relationship Id="rId753" Type="http://schemas.openxmlformats.org/officeDocument/2006/relationships/hyperlink" Target="https://www.guennounconseils.fr/expert-comptable-tpe" TargetMode="External"/><Relationship Id="rId518" Type="http://schemas.openxmlformats.org/officeDocument/2006/relationships/hyperlink" Target="https://www.sdgavocats.fr/" TargetMode="External"/><Relationship Id="rId517" Type="http://schemas.openxmlformats.org/officeDocument/2006/relationships/hyperlink" Target="https://schaeffer-avocats.com/droit-des-affaires/" TargetMode="External"/><Relationship Id="rId759" Type="http://schemas.openxmlformats.org/officeDocument/2006/relationships/hyperlink" Target="https://www.meilleure-banque.com/meilleure-neobanque-pro" TargetMode="External"/><Relationship Id="rId516" Type="http://schemas.openxmlformats.org/officeDocument/2006/relationships/hyperlink" Target="https://www.lx.legal/pole-affaires/" TargetMode="External"/><Relationship Id="rId758" Type="http://schemas.openxmlformats.org/officeDocument/2006/relationships/hyperlink" Target="https://expertcomptapro.fr/paris-75" TargetMode="External"/><Relationship Id="rId515" Type="http://schemas.openxmlformats.org/officeDocument/2006/relationships/hyperlink" Target="https://novlaw.fr/affaires/" TargetMode="External"/><Relationship Id="rId757" Type="http://schemas.openxmlformats.org/officeDocument/2006/relationships/hyperlink" Target="https://expertcomptapro.fr/comptabilite" TargetMode="External"/><Relationship Id="rId15" Type="http://schemas.openxmlformats.org/officeDocument/2006/relationships/hyperlink" Target="https://www.reddit.com/r/EntreprendreenFrance/comments/1r4m2kf/comment_trouvez_vous_votre_cabinet_comptable/" TargetMode="External"/><Relationship Id="rId14" Type="http://schemas.openxmlformats.org/officeDocument/2006/relationships/hyperlink" Target="https://www.reddit.com/r/PME_FR/comments/1rwhv95/quel_logiciel_utilisezvous_pour_g%C3%A9rer_crm_devis/" TargetMode="External"/><Relationship Id="rId17" Type="http://schemas.openxmlformats.org/officeDocument/2006/relationships/hyperlink" Target="https://www.reddit.com/r/FranceTravail/comments/1rfhk4e/estce_que_les_plateformes_de_facturation/" TargetMode="External"/><Relationship Id="rId16" Type="http://schemas.openxmlformats.org/officeDocument/2006/relationships/hyperlink" Target="https://www.reddit.com/r/vosfinances/comments/16jcjtq" TargetMode="External"/><Relationship Id="rId19" Type="http://schemas.openxmlformats.org/officeDocument/2006/relationships/hyperlink" Target="https://www.codeas.net/meilleur-logiciel-de-comptabilite-en-2025-en-france/" TargetMode="External"/><Relationship Id="rId510" Type="http://schemas.openxmlformats.org/officeDocument/2006/relationships/hyperlink" Target="https://negotium-avocats.com/" TargetMode="External"/><Relationship Id="rId752" Type="http://schemas.openxmlformats.org/officeDocument/2006/relationships/hyperlink" Target="https://www.socic.fr/ressources-comptabilite/articles/comptable-pas-cher-bien-choisir" TargetMode="External"/><Relationship Id="rId18" Type="http://schemas.openxmlformats.org/officeDocument/2006/relationships/hyperlink" Target="https://www.c2ic.net/comparatif-logiciel-de-comptabilite-en-2025-en-france/" TargetMode="External"/><Relationship Id="rId751" Type="http://schemas.openxmlformats.org/officeDocument/2006/relationships/hyperlink" Target="https://www.socic.fr/ressources-comptabilite/articles/comment-calculer-son-budget-expert-comptable" TargetMode="External"/><Relationship Id="rId750" Type="http://schemas.openxmlformats.org/officeDocument/2006/relationships/hyperlink" Target="https://gt-expertise.fr/maitriser-votre-budget-previsionnel/" TargetMode="External"/><Relationship Id="rId84" Type="http://schemas.openxmlformats.org/officeDocument/2006/relationships/hyperlink" Target="https://www.decision-achats.fr/brandvoice/comparatif-des-principaux-cabinets-comptables-a-paris" TargetMode="External"/><Relationship Id="rId83" Type="http://schemas.openxmlformats.org/officeDocument/2006/relationships/hyperlink" Target="https://www.connectbanque.com/fr/guide-pro/compte-professionnel-moins-cher" TargetMode="External"/><Relationship Id="rId86" Type="http://schemas.openxmlformats.org/officeDocument/2006/relationships/hyperlink" Target="https://www.habitatpresto.com/pro/conseils/administratif-fiscalite/pdp-plateforme-dematerialisation-partenaire" TargetMode="External"/><Relationship Id="rId85" Type="http://schemas.openxmlformats.org/officeDocument/2006/relationships/hyperlink" Target="https://www.beaboss.fr/Thematique/gestion-finance-1025/breve/pme-ces-7-logiciels-vont-vous-faire-aimer-la-comptabilite-330630.htm" TargetMode="External"/><Relationship Id="rId88" Type="http://schemas.openxmlformats.org/officeDocument/2006/relationships/hyperlink" Target="https://www.francetransactions.com/actus/news-banques/banques-moins-cheres-2026.html" TargetMode="External"/><Relationship Id="rId87" Type="http://schemas.openxmlformats.org/officeDocument/2006/relationships/hyperlink" Target="https://www.francetransactions.com/actus/news-banques/comparatif-frais-bancaires-banques-moins-cheres.html" TargetMode="External"/><Relationship Id="rId89" Type="http://schemas.openxmlformats.org/officeDocument/2006/relationships/hyperlink" Target="https://www.compta-online.com/plateformes-agreees-facturation-electronique-ao6026" TargetMode="External"/><Relationship Id="rId709" Type="http://schemas.openxmlformats.org/officeDocument/2006/relationships/hyperlink" Target="https://www.ouestnormandie.cci.fr/actualite/facturation-electronique-une-obligation-incontournable-des-2026" TargetMode="External"/><Relationship Id="rId708" Type="http://schemas.openxmlformats.org/officeDocument/2006/relationships/hyperlink" Target="https://www.itesoft.com/fr/blog/facture-electronique-7-points-cles/" TargetMode="External"/><Relationship Id="rId707" Type="http://schemas.openxmlformats.org/officeDocument/2006/relationships/hyperlink" Target="https://www.lyon-metropole.cci.fr/actualites/la-facture-electronique-bientot-une-obligation-pour-les-tpe-et-pme" TargetMode="External"/><Relationship Id="rId949" Type="http://schemas.openxmlformats.org/officeDocument/2006/relationships/hyperlink" Target="https://facture-electronique-obligatoire.fr/transmission-factures-electroniques/" TargetMode="External"/><Relationship Id="rId706" Type="http://schemas.openxmlformats.org/officeDocument/2006/relationships/hyperlink" Target="https://freedz.io/facture-electronique-2024/" TargetMode="External"/><Relationship Id="rId948" Type="http://schemas.openxmlformats.org/officeDocument/2006/relationships/hyperlink" Target="https://facture-electronique-obligatoire.fr/conformite-facturation-electronique-2026-tout-comprendre/e-invoicing-la-facturation-electronique-obligatoire-expliquee/" TargetMode="External"/><Relationship Id="rId80" Type="http://schemas.openxmlformats.org/officeDocument/2006/relationships/hyperlink" Target="https://www.connectbanque.com/fr/actualites/quel-compte-pro-avec-un-outil-de-facturation" TargetMode="External"/><Relationship Id="rId82" Type="http://schemas.openxmlformats.org/officeDocument/2006/relationships/hyperlink" Target="https://www.connectbanque.com/fr/guide-pro/compte-professionnel-avec-tpe" TargetMode="External"/><Relationship Id="rId81" Type="http://schemas.openxmlformats.org/officeDocument/2006/relationships/hyperlink" Target="https://www.connectbanque.com/fr/actualites/comment-changer-de-compte-bancaire-pro-facilement" TargetMode="External"/><Relationship Id="rId701" Type="http://schemas.openxmlformats.org/officeDocument/2006/relationships/hyperlink" Target="https://pamadigital.com/blog/%28pdp%29-zoom-sur-la-liste-publi%C3%A9e-par-la-dgfip" TargetMode="External"/><Relationship Id="rId943" Type="http://schemas.openxmlformats.org/officeDocument/2006/relationships/hyperlink" Target="https://fr.wikipedia.org/wiki/Fidal" TargetMode="External"/><Relationship Id="rId700" Type="http://schemas.openxmlformats.org/officeDocument/2006/relationships/hyperlink" Target="https://www.seneactu.net/banques-pro-economiques-2026/" TargetMode="External"/><Relationship Id="rId942" Type="http://schemas.openxmlformats.org/officeDocument/2006/relationships/hyperlink" Target="https://fr.wikipedia.org/wiki/Legalstart" TargetMode="External"/><Relationship Id="rId941" Type="http://schemas.openxmlformats.org/officeDocument/2006/relationships/hyperlink" Target="https://bleez.com/logiciel-comptabilite-tpe" TargetMode="External"/><Relationship Id="rId940" Type="http://schemas.openxmlformats.org/officeDocument/2006/relationships/hyperlink" Target="https://www.sinao.fr/business/logiciel-comptabilite-pme-tpe" TargetMode="External"/><Relationship Id="rId705" Type="http://schemas.openxmlformats.org/officeDocument/2006/relationships/hyperlink" Target="https://www.scale-expertise.fr/" TargetMode="External"/><Relationship Id="rId947" Type="http://schemas.openxmlformats.org/officeDocument/2006/relationships/hyperlink" Target="https://facture-electronique-obligatoire.fr/facturation-electronique-pme/" TargetMode="External"/><Relationship Id="rId704" Type="http://schemas.openxmlformats.org/officeDocument/2006/relationships/hyperlink" Target="https://www.cabinet-mosselmans.com/choisir-sa-banque-pour-son-entreprise/" TargetMode="External"/><Relationship Id="rId946" Type="http://schemas.openxmlformats.org/officeDocument/2006/relationships/hyperlink" Target="https://fr.wikipedia.org/wiki/Shine_France_%28banque%29" TargetMode="External"/><Relationship Id="rId703" Type="http://schemas.openxmlformats.org/officeDocument/2006/relationships/hyperlink" Target="https://www.normandie.fr/sites/default/files/2025-01/3e-journee-regionale-prevention-entreprises-8102024.pdf" TargetMode="External"/><Relationship Id="rId945" Type="http://schemas.openxmlformats.org/officeDocument/2006/relationships/hyperlink" Target="https://fr.wikipedia.org/wiki/Plateforme_agr%C3%A9%C3%A9e" TargetMode="External"/><Relationship Id="rId702" Type="http://schemas.openxmlformats.org/officeDocument/2006/relationships/hyperlink" Target="https://oga-francepartenaire.fr/actualites/1942/facturation-electronique-ladministration-publie-la-premere-liste-de-plateformes-de-dematerialisation-partenaires-pdp" TargetMode="External"/><Relationship Id="rId944" Type="http://schemas.openxmlformats.org/officeDocument/2006/relationships/hyperlink" Target="https://fr.wikipedia.org/wiki/Tiime" TargetMode="External"/><Relationship Id="rId73" Type="http://schemas.openxmlformats.org/officeDocument/2006/relationships/hyperlink" Target="https://www.leptidigital.fr/gestion-entreprise/comparatif-logiciels-facturation-electronique-pme-84204/" TargetMode="External"/><Relationship Id="rId72" Type="http://schemas.openxmlformats.org/officeDocument/2006/relationships/hyperlink" Target="https://www.plateya.fr/blog/detail/expert-comptable-a-paris-tarifs-2026-et-verification" TargetMode="External"/><Relationship Id="rId75" Type="http://schemas.openxmlformats.org/officeDocument/2006/relationships/hyperlink" Target="https://www.lepoint.fr/services/meilleur-compte-pro-en-ligne-comparatif-2026-WB5KUQSNW5HJPJPWLXUMDZMRRA/" TargetMode="External"/><Relationship Id="rId74" Type="http://schemas.openxmlformats.org/officeDocument/2006/relationships/hyperlink" Target="https://www.leptidigital.fr/gestion-entreprise/systemes-facturation-electronique-certifie-84499/" TargetMode="External"/><Relationship Id="rId77" Type="http://schemas.openxmlformats.org/officeDocument/2006/relationships/hyperlink" Target="https://www.lepoint.fr/economie/decouvrez-le-palmares-exclusif-des-meilleurs-cabinets-d-expertise-comptable-2025--23-10-2024-2573514_28.php" TargetMode="External"/><Relationship Id="rId76" Type="http://schemas.openxmlformats.org/officeDocument/2006/relationships/hyperlink" Target="https://www.lepoint.fr/economie/le-palmares-des-meilleurs-cabinets-d-expertise-comptable-2026--22-10-2025-2601583_28.php" TargetMode="External"/><Relationship Id="rId79" Type="http://schemas.openxmlformats.org/officeDocument/2006/relationships/hyperlink" Target="https://bourseinside.fr/financeetmarches/banques-traditionnelles-2026-axa-banque-credit-cooperatif-ce-classement-des-moins-cheres-revele-si-vous-payez-jusqua-160-e-de-trop/" TargetMode="External"/><Relationship Id="rId78" Type="http://schemas.openxmlformats.org/officeDocument/2006/relationships/hyperlink" Target="https://www.lepoint.fr/services/quel-compte-pro-choisir-pour-une-tpe-3BDNP4GPSNHWPPG4UJLYJSWZTI/" TargetMode="External"/><Relationship Id="rId939" Type="http://schemas.openxmlformats.org/officeDocument/2006/relationships/hyperlink" Target="https://www.sage.com/fr-fr/solutions-paiement-integrees/logiciel-rapprochement-bancaire/" TargetMode="External"/><Relationship Id="rId938" Type="http://schemas.openxmlformats.org/officeDocument/2006/relationships/hyperlink" Target="https://www.sage.com/fr-fr/comptabilite-logiciels/facturation/" TargetMode="External"/><Relationship Id="rId937" Type="http://schemas.openxmlformats.org/officeDocument/2006/relationships/hyperlink" Target="https://www.sage.com/fr-fr/dematerialisation/facture-electronique/" TargetMode="External"/><Relationship Id="rId71" Type="http://schemas.openxmlformats.org/officeDocument/2006/relationships/hyperlink" Target="https://www.plateya.fr/blog/detail/banque-pro-2025-comment-choisir-la-meilleure-offre-pro" TargetMode="External"/><Relationship Id="rId70" Type="http://schemas.openxmlformats.org/officeDocument/2006/relationships/hyperlink" Target="https://www.plateya.fr/blog/detail/logiciel-btp-2026-chiffrage-prix-conformite-facturation-electronique" TargetMode="External"/><Relationship Id="rId932" Type="http://schemas.openxmlformats.org/officeDocument/2006/relationships/hyperlink" Target="https://www.comparabanques.fr/comparatif-banque/banque-pro/entreprise" TargetMode="External"/><Relationship Id="rId931" Type="http://schemas.openxmlformats.org/officeDocument/2006/relationships/hyperlink" Target="https://www.comparabanques.fr/comparatif-banque/banque-pro" TargetMode="External"/><Relationship Id="rId930" Type="http://schemas.openxmlformats.org/officeDocument/2006/relationships/hyperlink" Target="https://www.lelabentrepreneur.com/portfolio-category/liste-des-outils-de-finance-comptabilite-gestion/" TargetMode="External"/><Relationship Id="rId936" Type="http://schemas.openxmlformats.org/officeDocument/2006/relationships/hyperlink" Target="https://www.sage.com/fr-fr/-/media/files/sagedotcom/france/documents/pdf/experts-comptables/sage-synergie-programme-ec-plaquette_19042019_vdef.pdf?la=fr-fr" TargetMode="External"/><Relationship Id="rId935" Type="http://schemas.openxmlformats.org/officeDocument/2006/relationships/hyperlink" Target="https://www.comparabanques.fr/comparatif-banque/banque-pro/shine-vs-qonto" TargetMode="External"/><Relationship Id="rId934" Type="http://schemas.openxmlformats.org/officeDocument/2006/relationships/hyperlink" Target="https://www.comparabanques.fr/banque-pro/profession-liberale" TargetMode="External"/><Relationship Id="rId933" Type="http://schemas.openxmlformats.org/officeDocument/2006/relationships/hyperlink" Target="https://www.comparabanques.fr/comparatif-banque/banque-pro/creation-micro-entreprise" TargetMode="External"/><Relationship Id="rId62" Type="http://schemas.openxmlformats.org/officeDocument/2006/relationships/hyperlink" Target="https://www.plateya.fr/blog/detail/classement-expert-comptable-en-ligne-2026-top-10-tarifs-et-avis-plateya" TargetMode="External"/><Relationship Id="rId61" Type="http://schemas.openxmlformats.org/officeDocument/2006/relationships/hyperlink" Target="https://www.plateya.fr/blog/detail/comparatif-banques-pro-2026-guide-complet-classement" TargetMode="External"/><Relationship Id="rId64" Type="http://schemas.openxmlformats.org/officeDocument/2006/relationships/hyperlink" Target="https://www.plateya.fr/blog/detail/banque-pro-internationale-2026-top-5-comparatif-complet" TargetMode="External"/><Relationship Id="rId63" Type="http://schemas.openxmlformats.org/officeDocument/2006/relationships/hyperlink" Target="https://www.plateya.fr/blog/detail/comparatif-des-banques-pro-options-et-tarifs-2026" TargetMode="External"/><Relationship Id="rId66" Type="http://schemas.openxmlformats.org/officeDocument/2006/relationships/hyperlink" Target="https://www.plateya.fr/blog/detail/experts-comptables-externalisez-la-paie-de-vos-clients-tpe-pme-sans-erreur" TargetMode="External"/><Relationship Id="rId65" Type="http://schemas.openxmlformats.org/officeDocument/2006/relationships/hyperlink" Target="https://www.plateya.fr/blog/detail/silae-augmente-ses-prix-externaliser-la-paie-devient-vital-pour-les-experts-comp" TargetMode="External"/><Relationship Id="rId68" Type="http://schemas.openxmlformats.org/officeDocument/2006/relationships/hyperlink" Target="https://www.plateya.fr/blog/detail/externaliser-la-paie-en-tpe-le-guide-2025-pour-choisir-entre-freelance-et-cabine" TargetMode="External"/><Relationship Id="rId67" Type="http://schemas.openxmlformats.org/officeDocument/2006/relationships/hyperlink" Target="https://www.plateya.fr/blog/detail/outil-de-facturation-electronique-gratuit-comparatif-2026" TargetMode="External"/><Relationship Id="rId729" Type="http://schemas.openxmlformats.org/officeDocument/2006/relationships/hyperlink" Target="https://gopaie.fr/wp-content/uploads/2022/05/Brochure_Offres_de_Services_GoPaie.pdf" TargetMode="External"/><Relationship Id="rId728" Type="http://schemas.openxmlformats.org/officeDocument/2006/relationships/hyperlink" Target="https://payesquad.fr/" TargetMode="External"/><Relationship Id="rId60" Type="http://schemas.openxmlformats.org/officeDocument/2006/relationships/hyperlink" Target="https://infonet.fr/actualite/nouveautes/facturation-electronique-obligations/" TargetMode="External"/><Relationship Id="rId723" Type="http://schemas.openxmlformats.org/officeDocument/2006/relationships/hyperlink" Target="https://doc-paie.fr/" TargetMode="External"/><Relationship Id="rId965" Type="http://schemas.openxmlformats.org/officeDocument/2006/relationships/hyperlink" Target="https://tenorsolutions.com/facture-electronique-2026/" TargetMode="External"/><Relationship Id="rId722" Type="http://schemas.openxmlformats.org/officeDocument/2006/relationships/hyperlink" Target="https://www.ssp-partners.com/" TargetMode="External"/><Relationship Id="rId964" Type="http://schemas.openxmlformats.org/officeDocument/2006/relationships/hyperlink" Target="https://compliant-invoice.eu/en/blog/france-einvoicing-2026-complete-guide" TargetMode="External"/><Relationship Id="rId721" Type="http://schemas.openxmlformats.org/officeDocument/2006/relationships/hyperlink" Target="https://www.visapaie.fr/externalisation-paie-pour-experts-comptables/" TargetMode="External"/><Relationship Id="rId963" Type="http://schemas.openxmlformats.org/officeDocument/2006/relationships/hyperlink" Target="https://compliant-invoice.eu/fr/blog/facturation-electronique-2026-guide-complet" TargetMode="External"/><Relationship Id="rId720" Type="http://schemas.openxmlformats.org/officeDocument/2006/relationships/hyperlink" Target="https://www.referencedaf.com/facturation-electronique-obligatoire-2026/" TargetMode="External"/><Relationship Id="rId962" Type="http://schemas.openxmlformats.org/officeDocument/2006/relationships/hyperlink" Target="https://www.cleartax.com/fr/en/chorus-pro-france-e-invoicing" TargetMode="External"/><Relationship Id="rId727" Type="http://schemas.openxmlformats.org/officeDocument/2006/relationships/hyperlink" Target="https://payesquad.fr/externalisation-paie/" TargetMode="External"/><Relationship Id="rId969" Type="http://schemas.openxmlformats.org/officeDocument/2006/relationships/hyperlink" Target="https://www.impots.gouv.fr/depliant-la-facturation-electronique-en-4-questions" TargetMode="External"/><Relationship Id="rId726" Type="http://schemas.openxmlformats.org/officeDocument/2006/relationships/hyperlink" Target="https://www.bdo.fr/fr-fr/services/expertise-sociale-rh/gestion-de-la-paie/externalisation-de-la-paie-pour-experts-comptables" TargetMode="External"/><Relationship Id="rId968" Type="http://schemas.openxmlformats.org/officeDocument/2006/relationships/hyperlink" Target="https://www.impots.gouv.fr/professionnel/questions/je-nemets-pas-de-facture-ou-je-facture-sans-tva-suis-je-concerne-par-la" TargetMode="External"/><Relationship Id="rId725" Type="http://schemas.openxmlformats.org/officeDocument/2006/relationships/hyperlink" Target="https://www.bdo.fr/fr-fr/services/expertise-comptable/accompagnement-facturation-electronique" TargetMode="External"/><Relationship Id="rId967" Type="http://schemas.openxmlformats.org/officeDocument/2006/relationships/hyperlink" Target="https://www.anyti.me/fr/actualites/factures-electroniques-2026-role-et-liste-des-plateformes-de-dematerialisation-partenaires/1803" TargetMode="External"/><Relationship Id="rId724" Type="http://schemas.openxmlformats.org/officeDocument/2006/relationships/hyperlink" Target="https://prisma-paierh.com/" TargetMode="External"/><Relationship Id="rId966" Type="http://schemas.openxmlformats.org/officeDocument/2006/relationships/hyperlink" Target="https://www.anyti.me/fr/actualites/facturation-electronique-la-liste-des-plateformes-de-dematerialisation-partenaires-immatriculees/1741" TargetMode="External"/><Relationship Id="rId69" Type="http://schemas.openxmlformats.org/officeDocument/2006/relationships/hyperlink" Target="https://www.plateya.fr/blog/detail/cabinet-gestion-de-paie-guide-complet-2025-comparatif" TargetMode="External"/><Relationship Id="rId961" Type="http://schemas.openxmlformats.org/officeDocument/2006/relationships/hyperlink" Target="https://www.cleartax.com/fr/en/common-mistakes-e-invoicing-france" TargetMode="External"/><Relationship Id="rId960" Type="http://schemas.openxmlformats.org/officeDocument/2006/relationships/hyperlink" Target="https://www.tecalliance.net/new-electronic-invoicing-mandatory-in-france-as-of-1st-july-2024-tecalliance-registers-as-pdp/" TargetMode="External"/><Relationship Id="rId51" Type="http://schemas.openxmlformats.org/officeDocument/2006/relationships/hyperlink" Target="https://www.compte-pro.com/comparatif-de-comptes-bancaires-professionnels" TargetMode="External"/><Relationship Id="rId50" Type="http://schemas.openxmlformats.org/officeDocument/2006/relationships/hyperlink" Target="https://www.compte-pro.com/quelle-banque-choisir-pour-un-compte-pro-les-criteres" TargetMode="External"/><Relationship Id="rId53" Type="http://schemas.openxmlformats.org/officeDocument/2006/relationships/hyperlink" Target="https://mondetech.fr/12-meilleurs-logiciels-facturation-electronique-2026/" TargetMode="External"/><Relationship Id="rId52" Type="http://schemas.openxmlformats.org/officeDocument/2006/relationships/hyperlink" Target="https://mondetech.fr/meilleurs-logiciels-facturation-2025-pme/" TargetMode="External"/><Relationship Id="rId55" Type="http://schemas.openxmlformats.org/officeDocument/2006/relationships/hyperlink" Target="https://www.guidedelabanque.fr/banques/comparatif/meilleure-banque-en-ligne" TargetMode="External"/><Relationship Id="rId54" Type="http://schemas.openxmlformats.org/officeDocument/2006/relationships/hyperlink" Target="https://www.ideal-investisseur.fr/pros/choisir-expert-comptable-en-ligne-comparatif-tarif-8677.html" TargetMode="External"/><Relationship Id="rId57" Type="http://schemas.openxmlformats.org/officeDocument/2006/relationships/hyperlink" Target="https://www.netpublic.fr/assurance-banque/meilleure-banque-en-ligne/" TargetMode="External"/><Relationship Id="rId56" Type="http://schemas.openxmlformats.org/officeDocument/2006/relationships/hyperlink" Target="https://www.pme-web.com/meilleures-banques-pro-en-ligne/" TargetMode="External"/><Relationship Id="rId719" Type="http://schemas.openxmlformats.org/officeDocument/2006/relationships/hyperlink" Target="https://www.septeo.com/fr/articles/tout-ce-quil-faut-savoir-sur-la-facture-electronique" TargetMode="External"/><Relationship Id="rId718" Type="http://schemas.openxmlformats.org/officeDocument/2006/relationships/hyperlink" Target="https://www.urssaf.fr/accueil/actualites/facturation-electronique.html" TargetMode="External"/><Relationship Id="rId717" Type="http://schemas.openxmlformats.org/officeDocument/2006/relationships/hyperlink" Target="https://www.youtube.com/watch?v=IDghZUdTP_w" TargetMode="External"/><Relationship Id="rId959" Type="http://schemas.openxmlformats.org/officeDocument/2006/relationships/hyperlink" Target="https://stripe.com/en-gr/resources/more/partner-dematerialization-platforms-pdp-france" TargetMode="External"/><Relationship Id="rId712" Type="http://schemas.openxmlformats.org/officeDocument/2006/relationships/hyperlink" Target="https://dext.com/fr/ressources/blog-actualite-comptable/single/tendances-comptables-2026-facture-electronique" TargetMode="External"/><Relationship Id="rId954" Type="http://schemas.openxmlformats.org/officeDocument/2006/relationships/hyperlink" Target="https://erp.comarch.com/trade-and-services/data-management/e-invoicing/e-invoicing-in-france/" TargetMode="External"/><Relationship Id="rId711" Type="http://schemas.openxmlformats.org/officeDocument/2006/relationships/hyperlink" Target="https://www.experts-comptables.fr/comprendre-la-facturation-electronique" TargetMode="External"/><Relationship Id="rId953" Type="http://schemas.openxmlformats.org/officeDocument/2006/relationships/hyperlink" Target="https://www.b2brouter.net/global/international/france/" TargetMode="External"/><Relationship Id="rId710" Type="http://schemas.openxmlformats.org/officeDocument/2006/relationships/hyperlink" Target="https://www.n2f.com/blog/tout-comprendre-a-la-reforme-de-la-facturation-electronique/" TargetMode="External"/><Relationship Id="rId952" Type="http://schemas.openxmlformats.org/officeDocument/2006/relationships/hyperlink" Target="https://www.brait.cc/en/blog/electronic-invoicing-france" TargetMode="External"/><Relationship Id="rId951" Type="http://schemas.openxmlformats.org/officeDocument/2006/relationships/hyperlink" Target="https://facture-electronique-obligatoire.fr/integrations/" TargetMode="External"/><Relationship Id="rId716" Type="http://schemas.openxmlformats.org/officeDocument/2006/relationships/hyperlink" Target="https://www.youtube.com/watch?v=FoXJq-GfFrg" TargetMode="External"/><Relationship Id="rId958" Type="http://schemas.openxmlformats.org/officeDocument/2006/relationships/hyperlink" Target="https://stripe.com/fr-ca/resources/more/pos-systems-for-businesses" TargetMode="External"/><Relationship Id="rId715" Type="http://schemas.openxmlformats.org/officeDocument/2006/relationships/hyperlink" Target="https://dext.com/fr/ressources/facture-electronique" TargetMode="External"/><Relationship Id="rId957" Type="http://schemas.openxmlformats.org/officeDocument/2006/relationships/hyperlink" Target="https://www.theinvoicinghub.com/einvoicing-compliance-france/" TargetMode="External"/><Relationship Id="rId714" Type="http://schemas.openxmlformats.org/officeDocument/2006/relationships/hyperlink" Target="https://dext.com/fr/ressources/blog-actualite-comptable/single/plateforme-facture-electronique" TargetMode="External"/><Relationship Id="rId956" Type="http://schemas.openxmlformats.org/officeDocument/2006/relationships/hyperlink" Target="https://blog.groupseres.com/en/frances-adaptation-to-einvoicing" TargetMode="External"/><Relationship Id="rId713" Type="http://schemas.openxmlformats.org/officeDocument/2006/relationships/hyperlink" Target="https://dext.com/fr/cabinet/produits/logiciel-facturation-electronique" TargetMode="External"/><Relationship Id="rId955" Type="http://schemas.openxmlformats.org/officeDocument/2006/relationships/hyperlink" Target="https://www.storecove.com/blog/en/frances-e-invoicing-landscape/" TargetMode="External"/><Relationship Id="rId59" Type="http://schemas.openxmlformats.org/officeDocument/2006/relationships/hyperlink" Target="https://infos-byz.com/facturation-electronique-2026-comparatif-des-5-logiciels-certifies-pour-tpe-pme/" TargetMode="External"/><Relationship Id="rId58" Type="http://schemas.openxmlformats.org/officeDocument/2006/relationships/hyperlink" Target="https://www.village-justice.com/articles/reforme-facturation-electronique-2026-2027-qui-change-pour-les-entreprises%2C54174.html" TargetMode="External"/><Relationship Id="rId950" Type="http://schemas.openxmlformats.org/officeDocument/2006/relationships/hyperlink" Target="https://facture-electronique-obligatoire.fr/conformite-facturation-electronique/e-invoicing-la-facturation-electronique-obligatoire-expliquee/" TargetMode="External"/><Relationship Id="rId590" Type="http://schemas.openxmlformats.org/officeDocument/2006/relationships/hyperlink" Target="https://ma-retraite-demain.fr/profil-chef-entreprise.html" TargetMode="External"/><Relationship Id="rId107" Type="http://schemas.openxmlformats.org/officeDocument/2006/relationships/hyperlink" Target="https://tool-advisor.fr/logiciel-comptabilite/comparatif/logiciel-comptabilite-gratuit/" TargetMode="External"/><Relationship Id="rId349" Type="http://schemas.openxmlformats.org/officeDocument/2006/relationships/hyperlink" Target="https://eurekapaie.eu/externalisation-de-la-paie/" TargetMode="External"/><Relationship Id="rId106" Type="http://schemas.openxmlformats.org/officeDocument/2006/relationships/hyperlink" Target="https://tool-advisor.fr/blog/compte-pro-pas-cher/" TargetMode="External"/><Relationship Id="rId348" Type="http://schemas.openxmlformats.org/officeDocument/2006/relationships/hyperlink" Target="https://selectra.info/finance/guides/banque-pro/neobanque-pro-comparatif" TargetMode="External"/><Relationship Id="rId105" Type="http://schemas.openxmlformats.org/officeDocument/2006/relationships/hyperlink" Target="https://tool-advisor.fr/blog/logiciel-facturation-electronique/" TargetMode="External"/><Relationship Id="rId347" Type="http://schemas.openxmlformats.org/officeDocument/2006/relationships/hyperlink" Target="https://www.ferless-conseil.com/offre-aux-professionnels/conseils-aux-entreprises/optimiser-la-remuneration-du-dirigeant/" TargetMode="External"/><Relationship Id="rId589" Type="http://schemas.openxmlformats.org/officeDocument/2006/relationships/hyperlink" Target="https://copeps.fr/actualites/cumul-retraite-et-dividendes-sarl/" TargetMode="External"/><Relationship Id="rId104" Type="http://schemas.openxmlformats.org/officeDocument/2006/relationships/hyperlink" Target="https://tool-advisor.fr/expert-comptable-en-ligne/comparatif/" TargetMode="External"/><Relationship Id="rId346" Type="http://schemas.openxmlformats.org/officeDocument/2006/relationships/hyperlink" Target="https://www.macsf.fr/patrimoine-finance/actualites-conseils/optimisation-remuneration-dirigeants" TargetMode="External"/><Relationship Id="rId588" Type="http://schemas.openxmlformats.org/officeDocument/2006/relationships/hyperlink" Target="https://copeps.fr/actualites/externaliser-paie-pme/" TargetMode="External"/><Relationship Id="rId109" Type="http://schemas.openxmlformats.org/officeDocument/2006/relationships/hyperlink" Target="https://leparticulier.lefigaro.fr/jcms/c_120973/retraite-de-base/agirc-arrco-cnav-des-rendez-vous-pour-ajuster-sa-carriere-en-vue-de-la-retraite-20240912" TargetMode="External"/><Relationship Id="rId108" Type="http://schemas.openxmlformats.org/officeDocument/2006/relationships/hyperlink" Target="https://www.bfmtv.com/comparateur/banque-professionnelle-en-ligne-test-comparatif/" TargetMode="External"/><Relationship Id="rId341" Type="http://schemas.openxmlformats.org/officeDocument/2006/relationships/hyperlink" Target="https://cabinet-ceg.fr/expert-comptable-tpe-pme" TargetMode="External"/><Relationship Id="rId583" Type="http://schemas.openxmlformats.org/officeDocument/2006/relationships/hyperlink" Target="https://www.yakacomparer.com/comparateur-de-banque/banque-en-ligne-pro.html" TargetMode="External"/><Relationship Id="rId340" Type="http://schemas.openxmlformats.org/officeDocument/2006/relationships/hyperlink" Target="https://www.kube.fr/expert-comptable-tpe-pme/" TargetMode="External"/><Relationship Id="rId582" Type="http://schemas.openxmlformats.org/officeDocument/2006/relationships/hyperlink" Target="https://www.legalplace.fr/guides/carte-bancaire-entreprise/" TargetMode="External"/><Relationship Id="rId581" Type="http://schemas.openxmlformats.org/officeDocument/2006/relationships/hyperlink" Target="https://www.legalplace.fr/guides/meilleure-banque-professionnels/" TargetMode="External"/><Relationship Id="rId580" Type="http://schemas.openxmlformats.org/officeDocument/2006/relationships/hyperlink" Target="https://www.legalplace.fr/guides/cout-expert-comptable-sasu/" TargetMode="External"/><Relationship Id="rId103" Type="http://schemas.openxmlformats.org/officeDocument/2006/relationships/hyperlink" Target="https://tool-advisor.fr/logiciel-facturation/comparatif/" TargetMode="External"/><Relationship Id="rId345" Type="http://schemas.openxmlformats.org/officeDocument/2006/relationships/hyperlink" Target="https://conseil.bpifrance.fr/publications/facturation-electronique-obligatoire-un-tournant-digital-pour-les-entreprises-francaises" TargetMode="External"/><Relationship Id="rId587" Type="http://schemas.openxmlformats.org/officeDocument/2006/relationships/hyperlink" Target="https://travail-emploi.gouv.fr/ou-sinformer-sur-sa-retraite-qui-sadresser" TargetMode="External"/><Relationship Id="rId102" Type="http://schemas.openxmlformats.org/officeDocument/2006/relationships/hyperlink" Target="https://tool-advisor.fr/blog/banque-pro-en-ligne/" TargetMode="External"/><Relationship Id="rId344" Type="http://schemas.openxmlformats.org/officeDocument/2006/relationships/hyperlink" Target="https://www.cabinetbarret.fr/post/facturation-%C3%A9lectronique-ce-qui-change-et-comment-vous-pr%C3%A9parer-2026-2027" TargetMode="External"/><Relationship Id="rId586" Type="http://schemas.openxmlformats.org/officeDocument/2006/relationships/hyperlink" Target="https://www.cerepfrance.com/solutions-et-conseils-retraite/" TargetMode="External"/><Relationship Id="rId101" Type="http://schemas.openxmlformats.org/officeDocument/2006/relationships/hyperlink" Target="https://www.pappers.fr/banque/ouvrir-compte-pro" TargetMode="External"/><Relationship Id="rId343" Type="http://schemas.openxmlformats.org/officeDocument/2006/relationships/hyperlink" Target="https://www.ecifec.com/ressources/facture-electronique" TargetMode="External"/><Relationship Id="rId585" Type="http://schemas.openxmlformats.org/officeDocument/2006/relationships/hyperlink" Target="https://www.ereconseils.com/" TargetMode="External"/><Relationship Id="rId100" Type="http://schemas.openxmlformats.org/officeDocument/2006/relationships/hyperlink" Target="https://www.baticopro.com/guides/le-compte-bancaire-de-la-copropriete.html" TargetMode="External"/><Relationship Id="rId342" Type="http://schemas.openxmlformats.org/officeDocument/2006/relationships/hyperlink" Target="https://factureinfo.com/list/le-top-5-des-comptes-bancaires-pro-avec-facturation-electronique/v" TargetMode="External"/><Relationship Id="rId584" Type="http://schemas.openxmlformats.org/officeDocument/2006/relationships/hyperlink" Target="https://www.impli.fr/categorie/banque-pro-en-ligne" TargetMode="External"/><Relationship Id="rId338" Type="http://schemas.openxmlformats.org/officeDocument/2006/relationships/hyperlink" Target="https://aupleco.fr/tpe/" TargetMode="External"/><Relationship Id="rId337" Type="http://schemas.openxmlformats.org/officeDocument/2006/relationships/hyperlink" Target="https://sav.neoviaretraite.fr/profils/retraites-des-dirigeants/" TargetMode="External"/><Relationship Id="rId579" Type="http://schemas.openxmlformats.org/officeDocument/2006/relationships/hyperlink" Target="https://www.cacomptepourmoi.fr/blog/podium-des-banques-en-ligne-pour-les-entreprises-en-2026/" TargetMode="External"/><Relationship Id="rId336" Type="http://schemas.openxmlformats.org/officeDocument/2006/relationships/hyperlink" Target="https://www.hellobankpro.fr/fr/actualites/2025/fevrier/changer-de-banque-professionnelle" TargetMode="External"/><Relationship Id="rId578" Type="http://schemas.openxmlformats.org/officeDocument/2006/relationships/hyperlink" Target="https://www.cacomptepourmoi.fr/blog/top-5-des-banques-en-ligne-pour-les-entreprises-en-2025/" TargetMode="External"/><Relationship Id="rId335" Type="http://schemas.openxmlformats.org/officeDocument/2006/relationships/hyperlink" Target="https://www.hellobankpro.fr/fr/devenir-client" TargetMode="External"/><Relationship Id="rId577" Type="http://schemas.openxmlformats.org/officeDocument/2006/relationships/hyperlink" Target="https://wise.com/fr/blog/meilleur-compte-professionnel-en-ligne" TargetMode="External"/><Relationship Id="rId339" Type="http://schemas.openxmlformats.org/officeDocument/2006/relationships/hyperlink" Target="https://gt-expertise.fr/cabinet-dexpertise-comptable-en-ile-de-france/" TargetMode="External"/><Relationship Id="rId330" Type="http://schemas.openxmlformats.org/officeDocument/2006/relationships/hyperlink" Target="https://www.jepilotemonentreprise.com/facturation-comptabilite/facturation-electronique-france/" TargetMode="External"/><Relationship Id="rId572" Type="http://schemas.openxmlformats.org/officeDocument/2006/relationships/hyperlink" Target="https://www.cic.fr/fr/professionnels/comptes/transfert-facile-pro.html" TargetMode="External"/><Relationship Id="rId571" Type="http://schemas.openxmlformats.org/officeDocument/2006/relationships/hyperlink" Target="https://www.cic.fr/fr/professionnels/comptes/e-factures.html" TargetMode="External"/><Relationship Id="rId570" Type="http://schemas.openxmlformats.org/officeDocument/2006/relationships/hyperlink" Target="https://www.service-public.gouv.fr/particuliers/vosdroits/F33881" TargetMode="External"/><Relationship Id="rId334" Type="http://schemas.openxmlformats.org/officeDocument/2006/relationships/hyperlink" Target="https://www.facturconform.fr/comparateur" TargetMode="External"/><Relationship Id="rId576" Type="http://schemas.openxmlformats.org/officeDocument/2006/relationships/hyperlink" Target="https://wise.com/fr/blog/changer-de-banque-pro" TargetMode="External"/><Relationship Id="rId333" Type="http://schemas.openxmlformats.org/officeDocument/2006/relationships/hyperlink" Target="https://cabinetcodex.fr/notre-expertise/" TargetMode="External"/><Relationship Id="rId575" Type="http://schemas.openxmlformats.org/officeDocument/2006/relationships/hyperlink" Target="https://www.100jourspourentreprendre.fr/comparatif/compte-pro/" TargetMode="External"/><Relationship Id="rId332" Type="http://schemas.openxmlformats.org/officeDocument/2006/relationships/hyperlink" Target="https://www.agileva.fr/" TargetMode="External"/><Relationship Id="rId574" Type="http://schemas.openxmlformats.org/officeDocument/2006/relationships/hyperlink" Target="https://www.100jourspourentreprendre.fr/comparatif/banque-pro/" TargetMode="External"/><Relationship Id="rId331" Type="http://schemas.openxmlformats.org/officeDocument/2006/relationships/hyperlink" Target="https://perlib.fr/articles/comparatif-des-meilleurs-banques-pro-2024" TargetMode="External"/><Relationship Id="rId573" Type="http://schemas.openxmlformats.org/officeDocument/2006/relationships/hyperlink" Target="https://www.immobilier-danger.com/societe-generale.html" TargetMode="External"/><Relationship Id="rId370" Type="http://schemas.openxmlformats.org/officeDocument/2006/relationships/hyperlink" Target="https://www.expert-comptable-tpe.fr/guide-expert-comptable-en-ligne/l-elaboration-previsionnel-financier-expert-comptable/" TargetMode="External"/><Relationship Id="rId129" Type="http://schemas.openxmlformats.org/officeDocument/2006/relationships/hyperlink" Target="https://www.appvizer.fr/magazine/finance-comptabilite/facturation/pdp-facture-electronique" TargetMode="External"/><Relationship Id="rId128" Type="http://schemas.openxmlformats.org/officeDocument/2006/relationships/hyperlink" Target="https://www.appvizer.fr/magazine/finance-comptabilite/comptabilite/comparatif-de-logiciels-de-comptabilite-1473112800" TargetMode="External"/><Relationship Id="rId127" Type="http://schemas.openxmlformats.org/officeDocument/2006/relationships/hyperlink" Target="https://www.compta-facile.com/comparatif-logiciels-comptabilite/" TargetMode="External"/><Relationship Id="rId369" Type="http://schemas.openxmlformats.org/officeDocument/2006/relationships/hyperlink" Target="https://blog.tiime.fr/quel-expert-comptable-en-ligne-choisir" TargetMode="External"/><Relationship Id="rId126" Type="http://schemas.openxmlformats.org/officeDocument/2006/relationships/hyperlink" Target="https://www.compta-facile.com/comparatif-logiciels-facturation/" TargetMode="External"/><Relationship Id="rId368" Type="http://schemas.openxmlformats.org/officeDocument/2006/relationships/hyperlink" Target="https://blog.tiime.fr/le-comparatif-des-meilleurs-logiciels-de-facturation-electronique" TargetMode="External"/><Relationship Id="rId121" Type="http://schemas.openxmlformats.org/officeDocument/2006/relationships/hyperlink" Target="https://www.moneyvox.fr/banque-pro/actualites/106423/boursobank-hello-bank-voici-les-banques-en-ligne-les-moins-cheres-pour-les-pros-en-2026" TargetMode="External"/><Relationship Id="rId363" Type="http://schemas.openxmlformats.org/officeDocument/2006/relationships/hyperlink" Target="https://www.cabinet-gestionsocialeconseil.fr/externalisation-paie-tpe-pme/" TargetMode="External"/><Relationship Id="rId120" Type="http://schemas.openxmlformats.org/officeDocument/2006/relationships/hyperlink" Target="https://www.moneyvox.fr/banque-pro/logiciel-de-facturation.php" TargetMode="External"/><Relationship Id="rId362" Type="http://schemas.openxmlformats.org/officeDocument/2006/relationships/hyperlink" Target="https://pay-expert.fr/" TargetMode="External"/><Relationship Id="rId361" Type="http://schemas.openxmlformats.org/officeDocument/2006/relationships/hyperlink" Target="https://groupepayeexpertsolutions.fr/" TargetMode="External"/><Relationship Id="rId360" Type="http://schemas.openxmlformats.org/officeDocument/2006/relationships/hyperlink" Target="https://www.capitaine-banque.com/actualite-banque/quelle-banque-choisir-pour-une-creation-dentreprise/" TargetMode="External"/><Relationship Id="rId125" Type="http://schemas.openxmlformats.org/officeDocument/2006/relationships/hyperlink" Target="https://www.presse-citron.net/banque-en-ligne/banque-pro/" TargetMode="External"/><Relationship Id="rId367" Type="http://schemas.openxmlformats.org/officeDocument/2006/relationships/hyperlink" Target="https://www.payexpertise.fr/" TargetMode="External"/><Relationship Id="rId124" Type="http://schemas.openxmlformats.org/officeDocument/2006/relationships/hyperlink" Target="https://finance-heros.fr/meilleurs-logiciels-de-facturation/" TargetMode="External"/><Relationship Id="rId366" Type="http://schemas.openxmlformats.org/officeDocument/2006/relationships/hyperlink" Target="https://genpaie.fr/" TargetMode="External"/><Relationship Id="rId123" Type="http://schemas.openxmlformats.org/officeDocument/2006/relationships/hyperlink" Target="https://finance-heros.fr/meilleure-banque-pro-ligne/" TargetMode="External"/><Relationship Id="rId365" Type="http://schemas.openxmlformats.org/officeDocument/2006/relationships/hyperlink" Target="https://lexipaie.com/" TargetMode="External"/><Relationship Id="rId122" Type="http://schemas.openxmlformats.org/officeDocument/2006/relationships/hyperlink" Target="https://www.moneyvox.fr/tarif-bancaire/actualites/101043/boursobank-la-banque-postale-credit-agricole-ccf-voici-le-palmares-2025-des-banques-les-moins-cheres-pour-les-pros" TargetMode="External"/><Relationship Id="rId364" Type="http://schemas.openxmlformats.org/officeDocument/2006/relationships/hyperlink" Target="https://www.cabinet-gestionsocialeconseil.fr/sous-traitance-paie-expert-comptable/" TargetMode="External"/><Relationship Id="rId95" Type="http://schemas.openxmlformats.org/officeDocument/2006/relationships/hyperlink" Target="https://www.lafabriquedunet.fr/logiciels/gestion/comptabilite/comptabilite-tpe-pme/" TargetMode="External"/><Relationship Id="rId94" Type="http://schemas.openxmlformats.org/officeDocument/2006/relationships/hyperlink" Target="https://www.europages.fr/entreprises/cabinet-expertise-comptable.html" TargetMode="External"/><Relationship Id="rId97" Type="http://schemas.openxmlformats.org/officeDocument/2006/relationships/hyperlink" Target="https://www.lafabriquedunet.fr/logiciels/gestion/facturation/facturation-pme/" TargetMode="External"/><Relationship Id="rId96" Type="http://schemas.openxmlformats.org/officeDocument/2006/relationships/hyperlink" Target="https://www.lafabriquedunet.fr/simulateur/cout-externalisation-paie" TargetMode="External"/><Relationship Id="rId99" Type="http://schemas.openxmlformats.org/officeDocument/2006/relationships/hyperlink" Target="https://www.panorabanques.com/actualite/banque/fiche-pratique-banque/le-compte-bancaire-pro-est-il-obligatoire" TargetMode="External"/><Relationship Id="rId98" Type="http://schemas.openxmlformats.org/officeDocument/2006/relationships/hyperlink" Target="https://www.maddyness.com/2017/11/20/phobieadministrative-legalstart-qonto-creer-entreprise-en-ligne/" TargetMode="External"/><Relationship Id="rId91" Type="http://schemas.openxmlformats.org/officeDocument/2006/relationships/hyperlink" Target="https://www.compta-online.com/plateformes-dematerialisation-partenaires-pdp-ao6026" TargetMode="External"/><Relationship Id="rId90" Type="http://schemas.openxmlformats.org/officeDocument/2006/relationships/hyperlink" Target="https://www.compta-online.com/facturation-electronique-ao5562" TargetMode="External"/><Relationship Id="rId93" Type="http://schemas.openxmlformats.org/officeDocument/2006/relationships/hyperlink" Target="https://itsocial.fr/metiers/metiers-actualites/facturation-electronique-2026-the-invoicing-hub-publie-un-comparatif-detaille-de-86-plateformes-agreees/" TargetMode="External"/><Relationship Id="rId92" Type="http://schemas.openxmlformats.org/officeDocument/2006/relationships/hyperlink" Target="https://www.compta-online.com/comptatech-private-equity-licornes-ao8215" TargetMode="External"/><Relationship Id="rId118" Type="http://schemas.openxmlformats.org/officeDocument/2006/relationships/hyperlink" Target="https://www.moneyvox.fr/banque/trophees-de-la-banque/pro.php" TargetMode="External"/><Relationship Id="rId117" Type="http://schemas.openxmlformats.org/officeDocument/2006/relationships/hyperlink" Target="https://www.moneyvox.fr/banque/compte-auto-entrepreneur.php" TargetMode="External"/><Relationship Id="rId359" Type="http://schemas.openxmlformats.org/officeDocument/2006/relationships/hyperlink" Target="https://www.capitaine-banque.com/actualite-banque/compte-pro-avec-creation-dentreprise/" TargetMode="External"/><Relationship Id="rId116" Type="http://schemas.openxmlformats.org/officeDocument/2006/relationships/hyperlink" Target="https://www.moneyvox.fr/tarif-bancaire/banques-moins-cheres.php" TargetMode="External"/><Relationship Id="rId358" Type="http://schemas.openxmlformats.org/officeDocument/2006/relationships/hyperlink" Target="https://www.legalstart.fr/fiches-pratiques/banque/changement-compte-bancaire-professionnel/" TargetMode="External"/><Relationship Id="rId115" Type="http://schemas.openxmlformats.org/officeDocument/2006/relationships/hyperlink" Target="https://www.moneyvox.fr/banque-en-ligne/" TargetMode="External"/><Relationship Id="rId357" Type="http://schemas.openxmlformats.org/officeDocument/2006/relationships/hyperlink" Target="https://www.agirc-arrco.fr/nous-connaitre/qui-sommes-nous/notre-organisation-et-notre-reseau/notre-reseau-conseil-retraite/" TargetMode="External"/><Relationship Id="rId599" Type="http://schemas.openxmlformats.org/officeDocument/2006/relationships/hyperlink" Target="https://www.inextenso.fr/agence/expert-comptable-angers/" TargetMode="External"/><Relationship Id="rId119" Type="http://schemas.openxmlformats.org/officeDocument/2006/relationships/hyperlink" Target="https://www.moneyvox.fr/banque-pro/actualites/107879/qonto-hello-bank-ou-revolut-comparatif-des-offres-promo-en-mars-2026-pour-les-comptes-pro" TargetMode="External"/><Relationship Id="rId110" Type="http://schemas.openxmlformats.org/officeDocument/2006/relationships/hyperlink" Target="https://www.moneyvox.fr/tarif-bancaire/compte-pro/banque-pro-moins-chere.php" TargetMode="External"/><Relationship Id="rId352" Type="http://schemas.openxmlformats.org/officeDocument/2006/relationships/hyperlink" Target="https://s-paie.com/" TargetMode="External"/><Relationship Id="rId594" Type="http://schemas.openxmlformats.org/officeDocument/2006/relationships/hyperlink" Target="https://ch-gestionprivee.fr/publications/optimisation-remuneration-dirigeant-salaire-dividendes-2026/" TargetMode="External"/><Relationship Id="rId351" Type="http://schemas.openxmlformats.org/officeDocument/2006/relationships/hyperlink" Target="https://www.cabinet-relief.fr/externalisation-de-la-paie/" TargetMode="External"/><Relationship Id="rId593" Type="http://schemas.openxmlformats.org/officeDocument/2006/relationships/hyperlink" Target="https://www.inrealart.com/blog/optimisation-fiscale-dirigeant-guide-complet-2025" TargetMode="External"/><Relationship Id="rId350" Type="http://schemas.openxmlformats.org/officeDocument/2006/relationships/hyperlink" Target="https://www.merx-paie.com/" TargetMode="External"/><Relationship Id="rId592" Type="http://schemas.openxmlformats.org/officeDocument/2006/relationships/hyperlink" Target="https://harmony-patrimoine.fr/optimiser-remuneration-dirigeant/" TargetMode="External"/><Relationship Id="rId591" Type="http://schemas.openxmlformats.org/officeDocument/2006/relationships/hyperlink" Target="https://optimial.fr/dirigeant-remunerations-optimisation-gestion-patrimoine/" TargetMode="External"/><Relationship Id="rId114" Type="http://schemas.openxmlformats.org/officeDocument/2006/relationships/hyperlink" Target="https://www.moneyvox.fr/banque-pro/actualites/106421/ccf-credit-agricole-credit-mutuel-quelles-sont-les-banques-les-moins-cheres-pour-les-pros-en-2026" TargetMode="External"/><Relationship Id="rId356" Type="http://schemas.openxmlformats.org/officeDocument/2006/relationships/hyperlink" Target="https://www.swisslife.fr/gestion-de-patrimoine/entrepreneur/vous-accompagner-dans-le-developpement-de-votre-entreprise/optimiser-votre-remuneration-en-tant-que-dirigeant.html" TargetMode="External"/><Relationship Id="rId598" Type="http://schemas.openxmlformats.org/officeDocument/2006/relationships/hyperlink" Target="https://www.inextenso.fr/agence/expert-comptable-angers-est/" TargetMode="External"/><Relationship Id="rId113" Type="http://schemas.openxmlformats.org/officeDocument/2006/relationships/hyperlink" Target="https://www.moneyvox.fr/tarif-bancaire/compte-pro/commercant.php" TargetMode="External"/><Relationship Id="rId355" Type="http://schemas.openxmlformats.org/officeDocument/2006/relationships/hyperlink" Target="https://www.shine.fr/blog/banque-pro-changement/" TargetMode="External"/><Relationship Id="rId597" Type="http://schemas.openxmlformats.org/officeDocument/2006/relationships/hyperlink" Target="https://www.inextenso.fr/agence/expert-comptable-angers-ouest/" TargetMode="External"/><Relationship Id="rId112" Type="http://schemas.openxmlformats.org/officeDocument/2006/relationships/hyperlink" Target="https://www.moneyvox.fr/banque-pro/" TargetMode="External"/><Relationship Id="rId354" Type="http://schemas.openxmlformats.org/officeDocument/2006/relationships/hyperlink" Target="https://www.l-expert-comptable.com/marseille" TargetMode="External"/><Relationship Id="rId596" Type="http://schemas.openxmlformats.org/officeDocument/2006/relationships/hyperlink" Target="https://optimiser-remuneration-dirigeant.fr/" TargetMode="External"/><Relationship Id="rId111" Type="http://schemas.openxmlformats.org/officeDocument/2006/relationships/hyperlink" Target="https://www.moneyvox.fr/tarif-bancaire/compte-pro/tpe-pme.php" TargetMode="External"/><Relationship Id="rId353" Type="http://schemas.openxmlformats.org/officeDocument/2006/relationships/hyperlink" Target="https://www.compta-intouch.com/expertise-comptable-en-ligne" TargetMode="External"/><Relationship Id="rId595" Type="http://schemas.openxmlformats.org/officeDocument/2006/relationships/hyperlink" Target="https://agorafinance.fr/optimisation-remuneration-dirigeant/" TargetMode="External"/><Relationship Id="rId305" Type="http://schemas.openxmlformats.org/officeDocument/2006/relationships/hyperlink" Target="https://www.josse-avocat.com/" TargetMode="External"/><Relationship Id="rId547" Type="http://schemas.openxmlformats.org/officeDocument/2006/relationships/hyperlink" Target="https://www.francetravail.fr/actualites/le-dossier/pratique/creation-ou-reprise-dentreprise/creer-son-entreprise/les-structures-daccompagnement.html" TargetMode="External"/><Relationship Id="rId789" Type="http://schemas.openxmlformats.org/officeDocument/2006/relationships/hyperlink" Target="https://mcmanagement.fr/" TargetMode="External"/><Relationship Id="rId304" Type="http://schemas.openxmlformats.org/officeDocument/2006/relationships/hyperlink" Target="https://josse-avocat.com/process" TargetMode="External"/><Relationship Id="rId546" Type="http://schemas.openxmlformats.org/officeDocument/2006/relationships/hyperlink" Target="https://www.cci.fr/ressources/creation-dentreprise/accompagnement-et-aides" TargetMode="External"/><Relationship Id="rId788" Type="http://schemas.openxmlformats.org/officeDocument/2006/relationships/hyperlink" Target="https://www.h4c-expertcomptable.fr/expert-comptable-2.html" TargetMode="External"/><Relationship Id="rId303" Type="http://schemas.openxmlformats.org/officeDocument/2006/relationships/hyperlink" Target="https://www.hafidi-avocat.com/" TargetMode="External"/><Relationship Id="rId545" Type="http://schemas.openxmlformats.org/officeDocument/2006/relationships/hyperlink" Target="https://www.cci.fr/ressources/formalites-en-ligne/facturation-electronique" TargetMode="External"/><Relationship Id="rId787" Type="http://schemas.openxmlformats.org/officeDocument/2006/relationships/hyperlink" Target="https://cabinetprevost.fr/presentation-du-cabinet/" TargetMode="External"/><Relationship Id="rId302" Type="http://schemas.openxmlformats.org/officeDocument/2006/relationships/hyperlink" Target="https://2a-avocat.com/publications-droit-du-travail-paris/avocat-en-droit-du-travail-employeur-tpe-pme-startup.php" TargetMode="External"/><Relationship Id="rId544" Type="http://schemas.openxmlformats.org/officeDocument/2006/relationships/hyperlink" Target="https://bpifrance-creation.fr/encyclopedie/se-faire-accompagner" TargetMode="External"/><Relationship Id="rId786" Type="http://schemas.openxmlformats.org/officeDocument/2006/relationships/hyperlink" Target="https://www.quanteos.fr/le-cabinet/" TargetMode="External"/><Relationship Id="rId309" Type="http://schemas.openxmlformats.org/officeDocument/2006/relationships/hyperlink" Target="https://www.azria-avocats.com/" TargetMode="External"/><Relationship Id="rId308" Type="http://schemas.openxmlformats.org/officeDocument/2006/relationships/hyperlink" Target="https://www.speltz-avocats.com/lapproche/" TargetMode="External"/><Relationship Id="rId307" Type="http://schemas.openxmlformats.org/officeDocument/2006/relationships/hyperlink" Target="https://www.swim.legal/avocat/entrepreneurs-tpe" TargetMode="External"/><Relationship Id="rId549" Type="http://schemas.openxmlformats.org/officeDocument/2006/relationships/hyperlink" Target="https://comparatif-compta.fr/taille/tpe" TargetMode="External"/><Relationship Id="rId306" Type="http://schemas.openxmlformats.org/officeDocument/2006/relationships/hyperlink" Target="https://www.inextenso-avocats.com/" TargetMode="External"/><Relationship Id="rId548" Type="http://schemas.openxmlformats.org/officeDocument/2006/relationships/hyperlink" Target="https://www.reseau-entreprendre.org/fr/entreprendre/" TargetMode="External"/><Relationship Id="rId781" Type="http://schemas.openxmlformats.org/officeDocument/2006/relationships/hyperlink" Target="https://www.rydge.fr/cabinet-expert-comptable/expert-comptable-colmar-68000" TargetMode="External"/><Relationship Id="rId780" Type="http://schemas.openxmlformats.org/officeDocument/2006/relationships/hyperlink" Target="https://www.q3expertise.fr/" TargetMode="External"/><Relationship Id="rId301" Type="http://schemas.openxmlformats.org/officeDocument/2006/relationships/hyperlink" Target="https://comparatif-compta.fr/fonctionnalite/facturation-electronique" TargetMode="External"/><Relationship Id="rId543" Type="http://schemas.openxmlformats.org/officeDocument/2006/relationships/hyperlink" Target="https://bpifrance-creation.fr/encyclopedie/se-faire-accompagner/reseaux-professionnels-laccompagnement/qui-se-faire-aider-creer" TargetMode="External"/><Relationship Id="rId785" Type="http://schemas.openxmlformats.org/officeDocument/2006/relationships/hyperlink" Target="https://www.pont9.fr/annuaire/roubaix/h4c-684c3c9fb151be81001a4063" TargetMode="External"/><Relationship Id="rId300" Type="http://schemas.openxmlformats.org/officeDocument/2006/relationships/hyperlink" Target="https://bpifrance-creation.fr/encyclopedie/aides-a-creation-a-reprise-dentreprise/synthese-aides-a-creation-profil/dispositifs" TargetMode="External"/><Relationship Id="rId542" Type="http://schemas.openxmlformats.org/officeDocument/2006/relationships/hyperlink" Target="https://bpifrance-creation.fr/encyclopedie/aides-a-creation-a-reprise-dentreprise/synthese-aides-a-creation-profil/aides-tous" TargetMode="External"/><Relationship Id="rId784" Type="http://schemas.openxmlformats.org/officeDocument/2006/relationships/hyperlink" Target="https://www.pont9.fr/annuaire/cavaillon/cap-expert-conseil-alpilles-luberon-cabinet-d-expertise-comptable-brun-et-michel-684c318bb151be81001a20fe" TargetMode="External"/><Relationship Id="rId541" Type="http://schemas.openxmlformats.org/officeDocument/2006/relationships/hyperlink" Target="https://www.servicesalapersonne.gouv.fr/je-suis-un-organisme-de-sap/les-dispositifs-daccompagnement-pour-les-organismes-de-services-la" TargetMode="External"/><Relationship Id="rId783" Type="http://schemas.openxmlformats.org/officeDocument/2006/relationships/hyperlink" Target="https://www.pont9.fr/annuaire/cavaillon/ifac-se-684c45d64de4f72c716463d0" TargetMode="External"/><Relationship Id="rId540" Type="http://schemas.openxmlformats.org/officeDocument/2006/relationships/hyperlink" Target="https://www.lesturgeoncayla-avocat.fr/accueil" TargetMode="External"/><Relationship Id="rId782" Type="http://schemas.openxmlformats.org/officeDocument/2006/relationships/hyperlink" Target="https://www.rydge.fr/cabinet-expert-comptable/expert-comptable-roubaix-59100" TargetMode="External"/><Relationship Id="rId536" Type="http://schemas.openxmlformats.org/officeDocument/2006/relationships/hyperlink" Target="https://www.cabineteleos.fr/" TargetMode="External"/><Relationship Id="rId778" Type="http://schemas.openxmlformats.org/officeDocument/2006/relationships/hyperlink" Target="https://www.dimo-dematerialisation.com/facture-electronique-obligatoire-2026/" TargetMode="External"/><Relationship Id="rId535" Type="http://schemas.openxmlformats.org/officeDocument/2006/relationships/hyperlink" Target="https://silviadiazavocat.com/" TargetMode="External"/><Relationship Id="rId777" Type="http://schemas.openxmlformats.org/officeDocument/2006/relationships/hyperlink" Target="https://evidency.io/horodatage-ses-benefices-pour-les-factures-electroniques/" TargetMode="External"/><Relationship Id="rId534" Type="http://schemas.openxmlformats.org/officeDocument/2006/relationships/hyperlink" Target="https://www.mandms.fr/" TargetMode="External"/><Relationship Id="rId776" Type="http://schemas.openxmlformats.org/officeDocument/2006/relationships/hyperlink" Target="https://evidency.io/horodatage-ses-benefices-pour-les-factures-electroniques/" TargetMode="External"/><Relationship Id="rId533" Type="http://schemas.openxmlformats.org/officeDocument/2006/relationships/hyperlink" Target="https://www.gm-avocats.pro/" TargetMode="External"/><Relationship Id="rId775" Type="http://schemas.openxmlformats.org/officeDocument/2006/relationships/hyperlink" Target="https://entreprendre.service-public.gouv.fr/vosdroits/F21118" TargetMode="External"/><Relationship Id="rId539" Type="http://schemas.openxmlformats.org/officeDocument/2006/relationships/hyperlink" Target="https://www.lesturgeoncayla-avocat.fr/" TargetMode="External"/><Relationship Id="rId538" Type="http://schemas.openxmlformats.org/officeDocument/2006/relationships/hyperlink" Target="https://sofia-avocats.fr/" TargetMode="External"/><Relationship Id="rId537" Type="http://schemas.openxmlformats.org/officeDocument/2006/relationships/hyperlink" Target="https://www.s2d-avocat.fr/" TargetMode="External"/><Relationship Id="rId779" Type="http://schemas.openxmlformats.org/officeDocument/2006/relationships/hyperlink" Target="https://www.kanta.fr/articles/facturation-electronique-2026-est-elle-obligatoire" TargetMode="External"/><Relationship Id="rId770" Type="http://schemas.openxmlformats.org/officeDocument/2006/relationships/hyperlink" Target="https://www.economie.gouv.fr/actualites/facturation-electronique-les-entreprises-accompagnees-tout-au-long-du-deploiement" TargetMode="External"/><Relationship Id="rId532" Type="http://schemas.openxmlformats.org/officeDocument/2006/relationships/hyperlink" Target="https://www.cvs-avocats.com/fr/bureau/bordeaux/" TargetMode="External"/><Relationship Id="rId774" Type="http://schemas.openxmlformats.org/officeDocument/2006/relationships/hyperlink" Target="https://entreprendre.service-public.gouv.fr/vosdroits/F23208" TargetMode="External"/><Relationship Id="rId531" Type="http://schemas.openxmlformats.org/officeDocument/2006/relationships/hyperlink" Target="https://www.burdigala-formations.fr/" TargetMode="External"/><Relationship Id="rId773" Type="http://schemas.openxmlformats.org/officeDocument/2006/relationships/hyperlink" Target="https://entreprendre.service-public.gouv.fr/actualites/A15683" TargetMode="External"/><Relationship Id="rId530" Type="http://schemas.openxmlformats.org/officeDocument/2006/relationships/hyperlink" Target="https://www.lda-avocat.fr/presentation" TargetMode="External"/><Relationship Id="rId772" Type="http://schemas.openxmlformats.org/officeDocument/2006/relationships/hyperlink" Target="https://entreprendre.service-public.gouv.fr/vosdroits/R60444" TargetMode="External"/><Relationship Id="rId771" Type="http://schemas.openxmlformats.org/officeDocument/2006/relationships/hyperlink" Target="https://www.gerantdesarl.com/actualite/facturation-electronique-la-liste-officielle-des-101-premieres-plateformes-agreees-est-publiee" TargetMode="External"/><Relationship Id="rId327" Type="http://schemas.openxmlformats.org/officeDocument/2006/relationships/hyperlink" Target="https://www.compteo.fr/guide/tarif-expert-comptable" TargetMode="External"/><Relationship Id="rId569" Type="http://schemas.openxmlformats.org/officeDocument/2006/relationships/hyperlink" Target="https://www.banque-france.fr/fr/a-votre-service/particuliers/connaitre-pratiques-bancaires-assurance/compte-frais/mobilite-bancaire" TargetMode="External"/><Relationship Id="rId326" Type="http://schemas.openxmlformats.org/officeDocument/2006/relationships/hyperlink" Target="https://www.compagnie-fiduciaire.com/nos-conseils/creation-reprise-entreprise/facture-electronique-les-plateformes-agreees-ex-plateformes-de-dematerialisation-partenaires-pdp/" TargetMode="External"/><Relationship Id="rId568" Type="http://schemas.openxmlformats.org/officeDocument/2006/relationships/hyperlink" Target="https://www.justice.fr/fiche/service-aide-mobilite-bancaire" TargetMode="External"/><Relationship Id="rId325" Type="http://schemas.openxmlformats.org/officeDocument/2006/relationships/hyperlink" Target="https://www.compagnie-fiduciaire.com/actualites/cf-parmi-les-meilleurs-cabinets-dexpertise-comptable-du-palmares-2026/" TargetMode="External"/><Relationship Id="rId567" Type="http://schemas.openxmlformats.org/officeDocument/2006/relationships/hyperlink" Target="https://www.justice.fr/fiche/changer-banque-mobilite-bancaire" TargetMode="External"/><Relationship Id="rId324" Type="http://schemas.openxmlformats.org/officeDocument/2006/relationships/hyperlink" Target="https://www.cabinet-icard.com/" TargetMode="External"/><Relationship Id="rId566" Type="http://schemas.openxmlformats.org/officeDocument/2006/relationships/hyperlink" Target="https://www.justice.fr/fiche/accompagnement-creation-entreprise" TargetMode="External"/><Relationship Id="rId329" Type="http://schemas.openxmlformats.org/officeDocument/2006/relationships/hyperlink" Target="https://conseillers-entreprises.service-public.gouv.fr/aide-entreprise/accueil/demande/conseil-retraite" TargetMode="External"/><Relationship Id="rId328" Type="http://schemas.openxmlformats.org/officeDocument/2006/relationships/hyperlink" Target="https://www.inaripatrimoine.fr/2025/10/27/optimiser-remuneration-dirigeant/" TargetMode="External"/><Relationship Id="rId561" Type="http://schemas.openxmlformats.org/officeDocument/2006/relationships/hyperlink" Target="https://www.aloy-avocats.fr/expertises/tpe-pme/" TargetMode="External"/><Relationship Id="rId560" Type="http://schemas.openxmlformats.org/officeDocument/2006/relationships/hyperlink" Target="https://www.bloiseavocats.com/une-entreprise" TargetMode="External"/><Relationship Id="rId323" Type="http://schemas.openxmlformats.org/officeDocument/2006/relationships/hyperlink" Target="https://ceepee.fr/" TargetMode="External"/><Relationship Id="rId565" Type="http://schemas.openxmlformats.org/officeDocument/2006/relationships/hyperlink" Target="https://www.pricebank.fr/questions-reponses/questions-frequentes/changer-de-banque-facilement.html" TargetMode="External"/><Relationship Id="rId322" Type="http://schemas.openxmlformats.org/officeDocument/2006/relationships/hyperlink" Target="https://comparateur-efacturation.fr/guide/liste-plateformes-agreees-dgfip" TargetMode="External"/><Relationship Id="rId564" Type="http://schemas.openxmlformats.org/officeDocument/2006/relationships/hyperlink" Target="https://www.pricebank.fr/questions-reponses/questions-frequentes/classement-banque-en-ligne-nombre-clients.html" TargetMode="External"/><Relationship Id="rId321" Type="http://schemas.openxmlformats.org/officeDocument/2006/relationships/hyperlink" Target="https://comparateur-efacturation.fr/blog/comparatif-facturation-electronique-tpe-2026" TargetMode="External"/><Relationship Id="rId563" Type="http://schemas.openxmlformats.org/officeDocument/2006/relationships/hyperlink" Target="https://pro.engie.fr/faq/contrat/realiser-un-changement-administratif/comment-faire-mobilite-bancaire" TargetMode="External"/><Relationship Id="rId320" Type="http://schemas.openxmlformats.org/officeDocument/2006/relationships/hyperlink" Target="https://comparateur-efacturation.fr/blog/logiciel-facturation-electronique-comparatif-2026" TargetMode="External"/><Relationship Id="rId562" Type="http://schemas.openxmlformats.org/officeDocument/2006/relationships/hyperlink" Target="https://www.creditmutuel.fr/fr/professionnels/comptes/transfert-facile-pro.html" TargetMode="External"/><Relationship Id="rId316" Type="http://schemas.openxmlformats.org/officeDocument/2006/relationships/hyperlink" Target="https://www.sogeca.com/sogeca-reconnu-parmi-les-meilleurs-cabinets-dexpertise-comptable-de-france/" TargetMode="External"/><Relationship Id="rId558" Type="http://schemas.openxmlformats.org/officeDocument/2006/relationships/hyperlink" Target="https://www.slbt.fr/" TargetMode="External"/><Relationship Id="rId315" Type="http://schemas.openxmlformats.org/officeDocument/2006/relationships/hyperlink" Target="https://www.sogeca.com/sogeca-62eme-cabinet-comptable-de-france/" TargetMode="External"/><Relationship Id="rId557" Type="http://schemas.openxmlformats.org/officeDocument/2006/relationships/hyperlink" Target="https://www.entreprises.cci-paris-idf.fr/evenements/les-avocats-prennent-la-defense-edition-5-le-droit-accessible-aux-pme" TargetMode="External"/><Relationship Id="rId799" Type="http://schemas.openxmlformats.org/officeDocument/2006/relationships/hyperlink" Target="https://www.neoviaretraite.fr/profils/retraites-des-dirigeants/" TargetMode="External"/><Relationship Id="rId314" Type="http://schemas.openxmlformats.org/officeDocument/2006/relationships/hyperlink" Target="https://www.inextenso.fr/classement-de-la-profession-comptable-in-extenso-confirme-sa-position-dacteur-incontournable/" TargetMode="External"/><Relationship Id="rId556" Type="http://schemas.openxmlformats.org/officeDocument/2006/relationships/hyperlink" Target="https://www.delcade.fr/clients/avocat-pme/" TargetMode="External"/><Relationship Id="rId798" Type="http://schemas.openxmlformats.org/officeDocument/2006/relationships/hyperlink" Target="https://www.neoviaretraite.fr/cabinet-conseil-retraite/cabinet-conseil-retraite-marseille/" TargetMode="External"/><Relationship Id="rId313" Type="http://schemas.openxmlformats.org/officeDocument/2006/relationships/hyperlink" Target="https://www.ceservices.fr/classement-des-cabinets-comptables-2025/" TargetMode="External"/><Relationship Id="rId555" Type="http://schemas.openxmlformats.org/officeDocument/2006/relationships/hyperlink" Target="https://www.josse-avocat.com/auditfiscalstratgique" TargetMode="External"/><Relationship Id="rId797" Type="http://schemas.openxmlformats.org/officeDocument/2006/relationships/hyperlink" Target="https://www.neoviaretraite.fr/actualites/type-profil/dirigeant/" TargetMode="External"/><Relationship Id="rId319" Type="http://schemas.openxmlformats.org/officeDocument/2006/relationships/hyperlink" Target="https://flash.bpifrance.fr/pret-articles-temoignages-tpe-pme/facturation-electronique-2026-tpe-pme-dirigeants" TargetMode="External"/><Relationship Id="rId318" Type="http://schemas.openxmlformats.org/officeDocument/2006/relationships/hyperlink" Target="https://www.joconderetraite.com/" TargetMode="External"/><Relationship Id="rId317" Type="http://schemas.openxmlformats.org/officeDocument/2006/relationships/hyperlink" Target="https://aurys.fr/actualites/actualites-du-groupe-aurys/le-groupe-aurys-rejoint-le-classement-des-meilleurs-cabinets-dexperts-comptables-de-france-2024/" TargetMode="External"/><Relationship Id="rId559" Type="http://schemas.openxmlformats.org/officeDocument/2006/relationships/hyperlink" Target="https://agnesbardel.fr/mes-valeurs/" TargetMode="External"/><Relationship Id="rId550" Type="http://schemas.openxmlformats.org/officeDocument/2006/relationships/hyperlink" Target="https://www.ncavocat.com/" TargetMode="External"/><Relationship Id="rId792" Type="http://schemas.openxmlformats.org/officeDocument/2006/relationships/hyperlink" Target="https://ilicompta.fr/expert-comptable/darras" TargetMode="External"/><Relationship Id="rId791" Type="http://schemas.openxmlformats.org/officeDocument/2006/relationships/hyperlink" Target="https://ilicompta.fr/expert-comptable/provence-compta" TargetMode="External"/><Relationship Id="rId790" Type="http://schemas.openxmlformats.org/officeDocument/2006/relationships/hyperlink" Target="https://www.cabinet-centralys.fr/expert-comptable-roubaix" TargetMode="External"/><Relationship Id="rId312" Type="http://schemas.openxmlformats.org/officeDocument/2006/relationships/hyperlink" Target="https://www.entrepreneurhero.fr/compte-pro/comparatif-meilleur-compte-pro/" TargetMode="External"/><Relationship Id="rId554" Type="http://schemas.openxmlformats.org/officeDocument/2006/relationships/hyperlink" Target="https://b2l-avocats.fr/" TargetMode="External"/><Relationship Id="rId796" Type="http://schemas.openxmlformats.org/officeDocument/2006/relationships/hyperlink" Target="https://visionconseilfrance.fr/patrimoine-du-dirigeant/" TargetMode="External"/><Relationship Id="rId311" Type="http://schemas.openxmlformats.org/officeDocument/2006/relationships/hyperlink" Target="https://essor-retraite.fr/" TargetMode="External"/><Relationship Id="rId553" Type="http://schemas.openxmlformats.org/officeDocument/2006/relationships/hyperlink" Target="https://www.cnb.avocat.fr/fr/communiques-de-presse/les-avocats-aux-cotes-des-tpepme" TargetMode="External"/><Relationship Id="rId795" Type="http://schemas.openxmlformats.org/officeDocument/2006/relationships/hyperlink" Target="https://sofinorex.com/notre-cabinet/" TargetMode="External"/><Relationship Id="rId310" Type="http://schemas.openxmlformats.org/officeDocument/2006/relationships/hyperlink" Target="https://www.cerepfrance.com/" TargetMode="External"/><Relationship Id="rId552" Type="http://schemas.openxmlformats.org/officeDocument/2006/relationships/hyperlink" Target="https://www.rhconseil-pme.fr/" TargetMode="External"/><Relationship Id="rId794" Type="http://schemas.openxmlformats.org/officeDocument/2006/relationships/hyperlink" Target="https://sofinorex.com/" TargetMode="External"/><Relationship Id="rId551" Type="http://schemas.openxmlformats.org/officeDocument/2006/relationships/hyperlink" Target="https://inextenso-avocats.com/" TargetMode="External"/><Relationship Id="rId793" Type="http://schemas.openxmlformats.org/officeDocument/2006/relationships/hyperlink" Target="https://sofinorex.com/services/pack-createur-evolution-roubaix-lille-croix/" TargetMode="External"/><Relationship Id="rId297" Type="http://schemas.openxmlformats.org/officeDocument/2006/relationships/hyperlink" Target="https://www.apogea.fr/prix-bulletin-paie-externalise/" TargetMode="External"/><Relationship Id="rId296" Type="http://schemas.openxmlformats.org/officeDocument/2006/relationships/hyperlink" Target="https://www.sapiendo-retraite.fr/calcul-retraite/bilan-premium" TargetMode="External"/><Relationship Id="rId295" Type="http://schemas.openxmlformats.org/officeDocument/2006/relationships/hyperlink" Target="https://www.gereso.com/consulting/bilan-retraite" TargetMode="External"/><Relationship Id="rId294" Type="http://schemas.openxmlformats.org/officeDocument/2006/relationships/hyperlink" Target="https://www.retraite.com/utiles/bilan-retraite.html" TargetMode="External"/><Relationship Id="rId299" Type="http://schemas.openxmlformats.org/officeDocument/2006/relationships/hyperlink" Target="https://bpifrance-creation.fr/encyclopedie/se-faire-accompagner/reseaux-professionnels-laccompagnement/accompagnement-france-0" TargetMode="External"/><Relationship Id="rId298" Type="http://schemas.openxmlformats.org/officeDocument/2006/relationships/hyperlink" Target="https://www.welyb.fr/blog/facturation-electronique-la-liste-des-plateformes-agreees-par-letat-a-ete-publiee" TargetMode="External"/><Relationship Id="rId271" Type="http://schemas.openxmlformats.org/officeDocument/2006/relationships/hyperlink" Target="https://www.comparabanques.fr/comparatif-banque/banque-pro/gratuite" TargetMode="External"/><Relationship Id="rId270" Type="http://schemas.openxmlformats.org/officeDocument/2006/relationships/hyperlink" Target="https://www.monoutildegestion.fr/comparatif/logiciel-gestion-tpe" TargetMode="External"/><Relationship Id="rId269" Type="http://schemas.openxmlformats.org/officeDocument/2006/relationships/hyperlink" Target="https://qonto.com/fr/blog/qonto/compte-pro-vs-banques/comparatif-banque-pro" TargetMode="External"/><Relationship Id="rId264" Type="http://schemas.openxmlformats.org/officeDocument/2006/relationships/hyperlink" Target="https://comptoir-retraite.fr/ou-se-renseigner-et-avoir-des-informations-pour-sa-retraite--.html" TargetMode="External"/><Relationship Id="rId263" Type="http://schemas.openxmlformats.org/officeDocument/2006/relationships/hyperlink" Target="https://www.eor.fr/bilan-retraite/" TargetMode="External"/><Relationship Id="rId262" Type="http://schemas.openxmlformats.org/officeDocument/2006/relationships/hyperlink" Target="https://www.legifiscal.fr/vie-affaires/facturation-electronique-plateformes-agreees.html" TargetMode="External"/><Relationship Id="rId261" Type="http://schemas.openxmlformats.org/officeDocument/2006/relationships/hyperlink" Target="https://www.dougs.fr/expert-comptable-tpe/" TargetMode="External"/><Relationship Id="rId268" Type="http://schemas.openxmlformats.org/officeDocument/2006/relationships/hyperlink" Target="https://www.indy.fr/guide/comptabilite-en-ligne/comptable/meilleur-comptable-en-ligne/" TargetMode="External"/><Relationship Id="rId267" Type="http://schemas.openxmlformats.org/officeDocument/2006/relationships/hyperlink" Target="https://www.indy.fr/guide/banque/meilleure/en-ligne-pro/" TargetMode="External"/><Relationship Id="rId266" Type="http://schemas.openxmlformats.org/officeDocument/2006/relationships/hyperlink" Target="https://www.detective-banque.fr/banque/banque-pro/ouvrir-un-compte-pro-avec-depot-de-capital/" TargetMode="External"/><Relationship Id="rId265" Type="http://schemas.openxmlformats.org/officeDocument/2006/relationships/hyperlink" Target="https://www.detective-banque.fr/banque/banque-pro/changer-de-banque-pro/" TargetMode="External"/><Relationship Id="rId260" Type="http://schemas.openxmlformats.org/officeDocument/2006/relationships/hyperlink" Target="https://www.keobiz.fr/le-mag/comptable-prix/" TargetMode="External"/><Relationship Id="rId259" Type="http://schemas.openxmlformats.org/officeDocument/2006/relationships/hyperlink" Target="https://www.coover.fr/banque-pro/changer" TargetMode="External"/><Relationship Id="rId258" Type="http://schemas.openxmlformats.org/officeDocument/2006/relationships/hyperlink" Target="https://propulsebyca.fr/compte-pro/comparatif" TargetMode="External"/><Relationship Id="rId253" Type="http://schemas.openxmlformats.org/officeDocument/2006/relationships/hyperlink" Target="https://www.francenum.gouv.fr/guides-et-conseils/pilotage-de-lentreprise/dematerialisation-des-documents/facturation-electronique" TargetMode="External"/><Relationship Id="rId495" Type="http://schemas.openxmlformats.org/officeDocument/2006/relationships/hyperlink" Target="https://www.larevuecompta.fr/article/5-logiciels-comptables-gratuits-pour-pme-en-2025" TargetMode="External"/><Relationship Id="rId252" Type="http://schemas.openxmlformats.org/officeDocument/2006/relationships/hyperlink" Target="https://www.francenum.gouv.fr/guides-et-conseils/pilotage-de-lentreprise/dematerialisation-des-documents/guide-pratique-pour" TargetMode="External"/><Relationship Id="rId494" Type="http://schemas.openxmlformats.org/officeDocument/2006/relationships/hyperlink" Target="https://saas-compare.fr/comparatif-facturation-2025/" TargetMode="External"/><Relationship Id="rId251" Type="http://schemas.openxmlformats.org/officeDocument/2006/relationships/hyperlink" Target="https://www.francenum.gouv.fr/guides-et-conseils/pilotage-de-lentreprise/dematerialisation-des-documents/comment-bien-choisir-sa" TargetMode="External"/><Relationship Id="rId493" Type="http://schemas.openxmlformats.org/officeDocument/2006/relationships/hyperlink" Target="https://www.fulll.fr/compte-pro" TargetMode="External"/><Relationship Id="rId250" Type="http://schemas.openxmlformats.org/officeDocument/2006/relationships/hyperlink" Target="https://onlineasset.com/classement-banque-professionnelle/" TargetMode="External"/><Relationship Id="rId492" Type="http://schemas.openxmlformats.org/officeDocument/2006/relationships/hyperlink" Target="https://www.youseeme.fr/facturex/facturation-gratuite-electronique/" TargetMode="External"/><Relationship Id="rId257" Type="http://schemas.openxmlformats.org/officeDocument/2006/relationships/hyperlink" Target="https://www.tgs-france.fr/metiers/expertise-comptable/" TargetMode="External"/><Relationship Id="rId499" Type="http://schemas.openxmlformats.org/officeDocument/2006/relationships/hyperlink" Target="https://www.hrpaiepartner.com/services/nos-services-de-paie/externalisation-paie/" TargetMode="External"/><Relationship Id="rId256" Type="http://schemas.openxmlformats.org/officeDocument/2006/relationships/hyperlink" Target="https://www.fiducial.fr/BanquePro/Societe-en-creation" TargetMode="External"/><Relationship Id="rId498" Type="http://schemas.openxmlformats.org/officeDocument/2006/relationships/hyperlink" Target="https://www.opaylink.com/choisir-cabinet-externalisation-de-la-paie/" TargetMode="External"/><Relationship Id="rId255" Type="http://schemas.openxmlformats.org/officeDocument/2006/relationships/hyperlink" Target="https://www.expert-comptable-tpe.fr/post/cout-comptable/" TargetMode="External"/><Relationship Id="rId497" Type="http://schemas.openxmlformats.org/officeDocument/2006/relationships/hyperlink" Target="https://www.banque-taux.com/actualites/comparatif-des-frais-bancaires-des.html" TargetMode="External"/><Relationship Id="rId254" Type="http://schemas.openxmlformats.org/officeDocument/2006/relationships/hyperlink" Target="https://www.expert-comptable-tpe.fr/https/wwwexpert-comptable-tpefr/articles/externalisation-de-la-comptabilite/" TargetMode="External"/><Relationship Id="rId496" Type="http://schemas.openxmlformats.org/officeDocument/2006/relationships/hyperlink" Target="https://www.larevuecompta.fr/article/comparatif-solutions-cloud-comptables-2025" TargetMode="External"/><Relationship Id="rId293" Type="http://schemas.openxmlformats.org/officeDocument/2006/relationships/hyperlink" Target="https://impulsefinance.fr/2026/03/03/combien-coute-reellement-un-expert-comptable-en-2026/" TargetMode="External"/><Relationship Id="rId292" Type="http://schemas.openxmlformats.org/officeDocument/2006/relationships/hyperlink" Target="https://softindep.fr/difference-comptable-expert-comptable" TargetMode="External"/><Relationship Id="rId291" Type="http://schemas.openxmlformats.org/officeDocument/2006/relationships/hyperlink" Target="https://www.info.gouv.fr/actualite/creer-son-entreprise-les-dispositifs-daide-a-connaitre" TargetMode="External"/><Relationship Id="rId290" Type="http://schemas.openxmlformats.org/officeDocument/2006/relationships/hyperlink" Target="https://www.nouvelleviepro.fr/creation-entreprise-comment-se-faire-accompagner" TargetMode="External"/><Relationship Id="rId286" Type="http://schemas.openxmlformats.org/officeDocument/2006/relationships/hyperlink" Target="https://www.france-epargne.fr/academy/epargne-retraite/per-dirigeant-optimisation-complete" TargetMode="External"/><Relationship Id="rId285" Type="http://schemas.openxmlformats.org/officeDocument/2006/relationships/hyperlink" Target="https://www.comparateur-facturation-electronique.fr/le-comparateur/" TargetMode="External"/><Relationship Id="rId284" Type="http://schemas.openxmlformats.org/officeDocument/2006/relationships/hyperlink" Target="https://www.banque-professionnel.fr/" TargetMode="External"/><Relationship Id="rId283" Type="http://schemas.openxmlformats.org/officeDocument/2006/relationships/hyperlink" Target="https://meilleurcomptepro.fr/" TargetMode="External"/><Relationship Id="rId289" Type="http://schemas.openxmlformats.org/officeDocument/2006/relationships/hyperlink" Target="https://www.jeboss.fr/accompagnement/" TargetMode="External"/><Relationship Id="rId288" Type="http://schemas.openxmlformats.org/officeDocument/2006/relationships/hyperlink" Target="https://www.hiscox.fr/blog/je-deviens-entrepreneur/organismes-aide-creation-entreprise" TargetMode="External"/><Relationship Id="rId287" Type="http://schemas.openxmlformats.org/officeDocument/2006/relationships/hyperlink" Target="https://www.youseeme.fr/facturation/" TargetMode="External"/><Relationship Id="rId282" Type="http://schemas.openxmlformats.org/officeDocument/2006/relationships/hyperlink" Target="https://www.competence-retraite.fr/" TargetMode="External"/><Relationship Id="rId281" Type="http://schemas.openxmlformats.org/officeDocument/2006/relationships/hyperlink" Target="https://www.service-public.fr/particuliers/vosdroits/F33881" TargetMode="External"/><Relationship Id="rId280" Type="http://schemas.openxmlformats.org/officeDocument/2006/relationships/hyperlink" Target="https://dlretraite.com/" TargetMode="External"/><Relationship Id="rId275" Type="http://schemas.openxmlformats.org/officeDocument/2006/relationships/hyperlink" Target="https://www.impots.gouv.fr/liste-des-plateformes-de-dematerialisation-partenaires-pdp-immatriculees-sous-reserve" TargetMode="External"/><Relationship Id="rId274" Type="http://schemas.openxmlformats.org/officeDocument/2006/relationships/hyperlink" Target="https://facturationdematerialisee.fr/" TargetMode="External"/><Relationship Id="rId273" Type="http://schemas.openxmlformats.org/officeDocument/2006/relationships/hyperlink" Target="https://facture-electronique-obligatoire.fr/conformite-facturation-electronique-2026-tout-comprendre/" TargetMode="External"/><Relationship Id="rId272" Type="http://schemas.openxmlformats.org/officeDocument/2006/relationships/hyperlink" Target="https://www.comparabanques.fr/comparatif-banque/banque-pro/tpe-sans-frais" TargetMode="External"/><Relationship Id="rId279" Type="http://schemas.openxmlformats.org/officeDocument/2006/relationships/hyperlink" Target="https://prismo-retraite.fr/" TargetMode="External"/><Relationship Id="rId278" Type="http://schemas.openxmlformats.org/officeDocument/2006/relationships/hyperlink" Target="https://oceaconcept.fr/bilan-retraite-dirigeant/" TargetMode="External"/><Relationship Id="rId277" Type="http://schemas.openxmlformats.org/officeDocument/2006/relationships/hyperlink" Target="https://www.cirdis-retraite.fr/entreprises/audit-retraite-dirigeants/" TargetMode="External"/><Relationship Id="rId276" Type="http://schemas.openxmlformats.org/officeDocument/2006/relationships/hyperlink" Target="https://www.impots.gouv.fr/actualite/facturation-electronique-liste-des-plateformes-de-dematerialisation-partenaires" TargetMode="External"/><Relationship Id="rId907" Type="http://schemas.openxmlformats.org/officeDocument/2006/relationships/hyperlink" Target="https://www.detective-banque.fr/banque/banque-pro/pack-creation-entreprise-et-compte-pro/" TargetMode="External"/><Relationship Id="rId906" Type="http://schemas.openxmlformats.org/officeDocument/2006/relationships/hyperlink" Target="https://www.carsat-pl.fr/home/partenaires/la-newsletter-rendez-vous-partenaires/rendez-vous-partenaires-25.html" TargetMode="External"/><Relationship Id="rId905" Type="http://schemas.openxmlformats.org/officeDocument/2006/relationships/hyperlink" Target="https://www.carsat-pl.fr/home/retraites/pour-bien-vieillir--aide-et-conseils/aides-proposees-par-vos-retraites-complementaires-agircarrco.html" TargetMode="External"/><Relationship Id="rId904" Type="http://schemas.openxmlformats.org/officeDocument/2006/relationships/hyperlink" Target="https://www.lassuranceretraite.fr/portail-info/hors-menu/actualites-nationales/actif/2025/des-interlocuteurs-pres.html" TargetMode="External"/><Relationship Id="rId909" Type="http://schemas.openxmlformats.org/officeDocument/2006/relationships/hyperlink" Target="https://www.detective-banque.fr/neo-banque-pour-pro-comment-faire-son-choix/" TargetMode="External"/><Relationship Id="rId908" Type="http://schemas.openxmlformats.org/officeDocument/2006/relationships/hyperlink" Target="https://www.detective-banque.fr/banque/banque-pro/ouvrir-un-compte-pro-en-ligne-sans-justificatif/" TargetMode="External"/><Relationship Id="rId903" Type="http://schemas.openxmlformats.org/officeDocument/2006/relationships/hyperlink" Target="https://www.lassuranceretraite.fr/portail-info/sites/pub/hors-menu/actualites-nationales/actif/2025/demandeur-demploi-atelier-ft.html" TargetMode="External"/><Relationship Id="rId902" Type="http://schemas.openxmlformats.org/officeDocument/2006/relationships/hyperlink" Target="https://www.lassuranceretraite.fr/portail-info/cms/render/live/fr/sites/pub/hors-menu/footer/contacts.html" TargetMode="External"/><Relationship Id="rId901" Type="http://schemas.openxmlformats.org/officeDocument/2006/relationships/hyperlink" Target="https://www.retraite-info.fr/puis-je-consulter-un-conseiller-retraite-gratuitement/" TargetMode="External"/><Relationship Id="rId900" Type="http://schemas.openxmlformats.org/officeDocument/2006/relationships/hyperlink" Target="https://www.cgss.re/entreprise/pour-mon-salarie" TargetMode="External"/><Relationship Id="rId929" Type="http://schemas.openxmlformats.org/officeDocument/2006/relationships/hyperlink" Target="https://www.lelabentrepreneur.com/2025/09/20/devis-facturation-le-comparatif-freelances-tpe-pme/" TargetMode="External"/><Relationship Id="rId928" Type="http://schemas.openxmlformats.org/officeDocument/2006/relationships/hyperlink" Target="https://www.monoutildegestion.fr/outils/keobiz" TargetMode="External"/><Relationship Id="rId927" Type="http://schemas.openxmlformats.org/officeDocument/2006/relationships/hyperlink" Target="https://www.monoutildegestion.fr/comparatif/logiciel-comptabilite-auto-entrepreneur" TargetMode="External"/><Relationship Id="rId926" Type="http://schemas.openxmlformats.org/officeDocument/2006/relationships/hyperlink" Target="https://qonto.com/fr/comparators/online-banks" TargetMode="External"/><Relationship Id="rId921" Type="http://schemas.openxmlformats.org/officeDocument/2006/relationships/hyperlink" Target="https://qonto.com/fr/blog/gestion-entreprise/facturation/logiciel-facturation-tpe" TargetMode="External"/><Relationship Id="rId920" Type="http://schemas.openxmlformats.org/officeDocument/2006/relationships/hyperlink" Target="https://www.banquepro.fr/12-neobanques-professionnels-france/" TargetMode="External"/><Relationship Id="rId925" Type="http://schemas.openxmlformats.org/officeDocument/2006/relationships/hyperlink" Target="https://qonto.com/fr/blog/gestion-entreprise/facturation/plateforme-agreee-pa" TargetMode="External"/><Relationship Id="rId924" Type="http://schemas.openxmlformats.org/officeDocument/2006/relationships/hyperlink" Target="https://qonto.com/fr/blog/qonto/compte-pro-vs-banques/tarif-compte-pro" TargetMode="External"/><Relationship Id="rId923" Type="http://schemas.openxmlformats.org/officeDocument/2006/relationships/hyperlink" Target="https://qonto.com/fr/blog/qonto/compte-pro-vs-banques/shine-vs-qonto-vs-n26" TargetMode="External"/><Relationship Id="rId922" Type="http://schemas.openxmlformats.org/officeDocument/2006/relationships/hyperlink" Target="https://qonto.com/fr/blog/qonto/compte-pro-vs-banques/meilleures-banques-pour-entreprises" TargetMode="External"/><Relationship Id="rId918" Type="http://schemas.openxmlformats.org/officeDocument/2006/relationships/hyperlink" Target="https://www.indy.fr/guide/banque/comparateur/" TargetMode="External"/><Relationship Id="rId917" Type="http://schemas.openxmlformats.org/officeDocument/2006/relationships/hyperlink" Target="https://www.indy.fr/guide/sasu/comptabilite/obligations-comptables/compte-bancaire-professionnel/" TargetMode="External"/><Relationship Id="rId916" Type="http://schemas.openxmlformats.org/officeDocument/2006/relationships/hyperlink" Target="https://www.indy.fr/guide/comptabilite-en-ligne/logiciel/comparatif/" TargetMode="External"/><Relationship Id="rId915" Type="http://schemas.openxmlformats.org/officeDocument/2006/relationships/hyperlink" Target="https://www.indy.fr/guide/banque/meilleure/pro/" TargetMode="External"/><Relationship Id="rId919" Type="http://schemas.openxmlformats.org/officeDocument/2006/relationships/hyperlink" Target="https://www.indy.fr/guide/banque/tarif/" TargetMode="External"/><Relationship Id="rId910" Type="http://schemas.openxmlformats.org/officeDocument/2006/relationships/hyperlink" Target="https://www.detective-banque.fr/actualites/banque/creer-son-entreprise-les-demarches-incontournables-et-pourquoi-le-compte-pro-est-une-etape-cle/" TargetMode="External"/><Relationship Id="rId914" Type="http://schemas.openxmlformats.org/officeDocument/2006/relationships/hyperlink" Target="https://www.indy.fr/guide/compte-bancaire/pro/tpe/" TargetMode="External"/><Relationship Id="rId913" Type="http://schemas.openxmlformats.org/officeDocument/2006/relationships/hyperlink" Target="https://www.indy.fr/guide/banque/pro/tpe/" TargetMode="External"/><Relationship Id="rId912" Type="http://schemas.openxmlformats.org/officeDocument/2006/relationships/hyperlink" Target="https://www.indy.fr/guide/comptabilite-en-ligne/logiciel/comparatif/logiciel-expert-comptable/" TargetMode="External"/><Relationship Id="rId911" Type="http://schemas.openxmlformats.org/officeDocument/2006/relationships/hyperlink" Target="https://www.detective-banque.fr/banque/banque-pro/qonto-ou-shine/" TargetMode="External"/><Relationship Id="rId629" Type="http://schemas.openxmlformats.org/officeDocument/2006/relationships/hyperlink" Target="https://oec-hdf.com/qu-est-ce-qu-un-expert-comptable" TargetMode="External"/><Relationship Id="rId624" Type="http://schemas.openxmlformats.org/officeDocument/2006/relationships/hyperlink" Target="https://genesispatrimoineconseil.com/bilan-retraite-et-complementaire-retraite/" TargetMode="External"/><Relationship Id="rId866" Type="http://schemas.openxmlformats.org/officeDocument/2006/relationships/hyperlink" Target="https://www.expert-comptable-tpe.fr/articles/facturation-electronique/" TargetMode="External"/><Relationship Id="rId623" Type="http://schemas.openxmlformats.org/officeDocument/2006/relationships/hyperlink" Target="https://www.pyramide-conseils.fr/meilleurs-cabinets-pyramide-conseils/" TargetMode="External"/><Relationship Id="rId865" Type="http://schemas.openxmlformats.org/officeDocument/2006/relationships/hyperlink" Target="https://www.expert-comptable-tpe.fr/externalisation-paie-expert-comptable/" TargetMode="External"/><Relationship Id="rId622" Type="http://schemas.openxmlformats.org/officeDocument/2006/relationships/hyperlink" Target="https://www.pyramide-conseils.fr/classement-meilleurs-cabinets-comptable-2025-pyramide-conseils/" TargetMode="External"/><Relationship Id="rId864" Type="http://schemas.openxmlformats.org/officeDocument/2006/relationships/hyperlink" Target="https://blog.tiime.fr/top-des-meilleures-plateformes-de-dematerialisation-partenaires-pdp-comparatif" TargetMode="External"/><Relationship Id="rId621" Type="http://schemas.openxmlformats.org/officeDocument/2006/relationships/hyperlink" Target="https://nexia-sa.fr/fr/actualit%C3%A9s/vie-du-cabinet/nexia-sa-parmi-les-meilleurs-cabinets-d-experts-comptables-2024" TargetMode="External"/><Relationship Id="rId863" Type="http://schemas.openxmlformats.org/officeDocument/2006/relationships/hyperlink" Target="https://eduoutils.fr/comparatifs/meilleurs-logiciels-comptabilite-freelance-2026/" TargetMode="External"/><Relationship Id="rId628" Type="http://schemas.openxmlformats.org/officeDocument/2006/relationships/hyperlink" Target="https://www.mg-assurance.fr/bilan-retraite-marseille/" TargetMode="External"/><Relationship Id="rId627" Type="http://schemas.openxmlformats.org/officeDocument/2006/relationships/hyperlink" Target="https://www.retraitexpertise.com/" TargetMode="External"/><Relationship Id="rId869" Type="http://schemas.openxmlformats.org/officeDocument/2006/relationships/hyperlink" Target="https://www.expert-comptable-tpe.fr/articles/combien-coute-un-previsionnel-ou-un-business-plan/" TargetMode="External"/><Relationship Id="rId626" Type="http://schemas.openxmlformats.org/officeDocument/2006/relationships/hyperlink" Target="https://www.armonia-retraite.fr/armonia-retraite-marseille/" TargetMode="External"/><Relationship Id="rId868" Type="http://schemas.openxmlformats.org/officeDocument/2006/relationships/hyperlink" Target="https://www.expert-comptable-tpe.fr/business-plan-expert-comptable/" TargetMode="External"/><Relationship Id="rId625" Type="http://schemas.openxmlformats.org/officeDocument/2006/relationships/hyperlink" Target="https://www.protectiontns.fr/retraite/audit-retraite-tns.html" TargetMode="External"/><Relationship Id="rId867" Type="http://schemas.openxmlformats.org/officeDocument/2006/relationships/hyperlink" Target="https://www.expert-comptable-tpe.fr/guide-expert-comptable-en-ligne/" TargetMode="External"/><Relationship Id="rId620" Type="http://schemas.openxmlformats.org/officeDocument/2006/relationships/hyperlink" Target="https://www.axessconseil.com/budget-previsionnel/" TargetMode="External"/><Relationship Id="rId862" Type="http://schemas.openxmlformats.org/officeDocument/2006/relationships/hyperlink" Target="https://www.francenum.gouv.fr/guides-et-conseils/pilotage-de-lentreprise/dematerialisation-des-documents/facturation-0" TargetMode="External"/><Relationship Id="rId861" Type="http://schemas.openxmlformats.org/officeDocument/2006/relationships/hyperlink" Target="https://tplpaye.fr/" TargetMode="External"/><Relationship Id="rId860" Type="http://schemas.openxmlformats.org/officeDocument/2006/relationships/hyperlink" Target="https://tplpaye.fr/societe-externalisation-paie/" TargetMode="External"/><Relationship Id="rId619" Type="http://schemas.openxmlformats.org/officeDocument/2006/relationships/hyperlink" Target="https://alphaleonis.fr/" TargetMode="External"/><Relationship Id="rId618" Type="http://schemas.openxmlformats.org/officeDocument/2006/relationships/hyperlink" Target="https://www.nextcompta.com/creation-entreprise" TargetMode="External"/><Relationship Id="rId613" Type="http://schemas.openxmlformats.org/officeDocument/2006/relationships/hyperlink" Target="https://www.cabinetmillan.com/vos-activites-w1" TargetMode="External"/><Relationship Id="rId855" Type="http://schemas.openxmlformats.org/officeDocument/2006/relationships/hyperlink" Target="https://www.capitaine-banque.com/actualite-banque/shine/" TargetMode="External"/><Relationship Id="rId612" Type="http://schemas.openxmlformats.org/officeDocument/2006/relationships/hyperlink" Target="https://www.cabinetmillan.com/" TargetMode="External"/><Relationship Id="rId854" Type="http://schemas.openxmlformats.org/officeDocument/2006/relationships/hyperlink" Target="https://www.legalstart.fr/fiches-pratiques/astuces-entrepreneurs/compte-bancaire-professionnel/" TargetMode="External"/><Relationship Id="rId611" Type="http://schemas.openxmlformats.org/officeDocument/2006/relationships/hyperlink" Target="https://www.defenz.eu/" TargetMode="External"/><Relationship Id="rId853" Type="http://schemas.openxmlformats.org/officeDocument/2006/relationships/hyperlink" Target="https://www.legalstart.fr/fiches-pratiques/comptabilite-entreprise/expert-comptable-creation-entreprise/" TargetMode="External"/><Relationship Id="rId610" Type="http://schemas.openxmlformats.org/officeDocument/2006/relationships/hyperlink" Target="https://carlini-avocats.com/avocat-droit-des-affaires/" TargetMode="External"/><Relationship Id="rId852" Type="http://schemas.openxmlformats.org/officeDocument/2006/relationships/hyperlink" Target="https://www.legalstart.fr/fiches-pratiques/facturation/facture-electronique/" TargetMode="External"/><Relationship Id="rId617" Type="http://schemas.openxmlformats.org/officeDocument/2006/relationships/hyperlink" Target="https://www.createursigcafrance.com/" TargetMode="External"/><Relationship Id="rId859" Type="http://schemas.openxmlformats.org/officeDocument/2006/relationships/hyperlink" Target="https://tplpaye.fr/externalisation-paie-paris/" TargetMode="External"/><Relationship Id="rId616" Type="http://schemas.openxmlformats.org/officeDocument/2006/relationships/hyperlink" Target="https://www.efirec.fr/" TargetMode="External"/><Relationship Id="rId858" Type="http://schemas.openxmlformats.org/officeDocument/2006/relationships/hyperlink" Target="https://genpaie.fr/experts-comptables/" TargetMode="External"/><Relationship Id="rId615" Type="http://schemas.openxmlformats.org/officeDocument/2006/relationships/hyperlink" Target="https://cecadi.fr/" TargetMode="External"/><Relationship Id="rId857" Type="http://schemas.openxmlformats.org/officeDocument/2006/relationships/hyperlink" Target="https://rh.jcausse.com/details-externalisation%2Bde%2Bla%2Bpaie%2Ba%2Bun%2Bcabinet%2Bd%2Bexpertise%2Bcomptable-158.html" TargetMode="External"/><Relationship Id="rId614" Type="http://schemas.openxmlformats.org/officeDocument/2006/relationships/hyperlink" Target="https://www.cabinetagefec.fr/" TargetMode="External"/><Relationship Id="rId856" Type="http://schemas.openxmlformats.org/officeDocument/2006/relationships/hyperlink" Target="https://www.capitaine-banque.com/actualite-banque/depot-de-capital-qonto/" TargetMode="External"/><Relationship Id="rId851" Type="http://schemas.openxmlformats.org/officeDocument/2006/relationships/hyperlink" Target="https://www.legalstart.fr/fiches-pratiques/comptabilite-entreprise/comptabilite-en-ligne/" TargetMode="External"/><Relationship Id="rId850" Type="http://schemas.openxmlformats.org/officeDocument/2006/relationships/hyperlink" Target="https://www.agirc-arrco.fr/particuliers/mes-services-particuliers/preparer-ma-retraite/entretien-information-retraite/" TargetMode="External"/><Relationship Id="rId409" Type="http://schemas.openxmlformats.org/officeDocument/2006/relationships/hyperlink" Target="https://www.lelabentrepreneur.com/2025/09/20/comparatif-2025-40-logiciels-de-facturation-passes-au-crible/" TargetMode="External"/><Relationship Id="rId404" Type="http://schemas.openxmlformats.org/officeDocument/2006/relationships/hyperlink" Target="https://www.indy.fr/guide/banque/pro/" TargetMode="External"/><Relationship Id="rId646" Type="http://schemas.openxmlformats.org/officeDocument/2006/relationships/hyperlink" Target="https://www.cogep.fr/blog/cogep-se-distingue-parmi-les-meilleurs-cabinets-dexpertise-comptable-2026/" TargetMode="External"/><Relationship Id="rId888" Type="http://schemas.openxmlformats.org/officeDocument/2006/relationships/hyperlink" Target="https://www.pennylane.com/fr/fiches-pratiques/facture-electronique/reforme-facturation-electronique" TargetMode="External"/><Relationship Id="rId403" Type="http://schemas.openxmlformats.org/officeDocument/2006/relationships/hyperlink" Target="https://www.indy.fr/guide/facturation/electronique/meilleure-plateforme-facturation-electronique/" TargetMode="External"/><Relationship Id="rId645" Type="http://schemas.openxmlformats.org/officeDocument/2006/relationships/hyperlink" Target="https://comparateur-efacturation.fr/guide/facturation-electronique-obligatoire-2026" TargetMode="External"/><Relationship Id="rId887" Type="http://schemas.openxmlformats.org/officeDocument/2006/relationships/hyperlink" Target="https://www.servicetel.fr/choisir-pdp-facturation-electronique-2026/" TargetMode="External"/><Relationship Id="rId402" Type="http://schemas.openxmlformats.org/officeDocument/2006/relationships/hyperlink" Target="https://www.indy.fr/guide/banque/meilleure/en-ligne/" TargetMode="External"/><Relationship Id="rId644" Type="http://schemas.openxmlformats.org/officeDocument/2006/relationships/hyperlink" Target="https://comparateur-efacturation.fr/guide/difference-pdp-ppf-ope" TargetMode="External"/><Relationship Id="rId886" Type="http://schemas.openxmlformats.org/officeDocument/2006/relationships/hyperlink" Target="https://www.dougs.fr/expert-comptable/" TargetMode="External"/><Relationship Id="rId401" Type="http://schemas.openxmlformats.org/officeDocument/2006/relationships/hyperlink" Target="https://www.indy.fr/guide/compte-bancaire/pro/changer/" TargetMode="External"/><Relationship Id="rId643" Type="http://schemas.openxmlformats.org/officeDocument/2006/relationships/hyperlink" Target="https://comparateur-efacturation.fr/annuaire-pa" TargetMode="External"/><Relationship Id="rId885" Type="http://schemas.openxmlformats.org/officeDocument/2006/relationships/hyperlink" Target="https://www.dougs.fr/expert-comptable-pme/" TargetMode="External"/><Relationship Id="rId408" Type="http://schemas.openxmlformats.org/officeDocument/2006/relationships/hyperlink" Target="https://www.monoutildegestion.fr/comparatif/logiciel-comptable-pme" TargetMode="External"/><Relationship Id="rId407" Type="http://schemas.openxmlformats.org/officeDocument/2006/relationships/hyperlink" Target="https://www.monoutildegestion.fr/comparatif/logiciel-gestion-commerciale" TargetMode="External"/><Relationship Id="rId649" Type="http://schemas.openxmlformats.org/officeDocument/2006/relationships/hyperlink" Target="https://www.fidaquitaine.com/actualite-informations-entrepreneurs/combien-coute-reellement-un-expert-comptable-en-france-en-2025/" TargetMode="External"/><Relationship Id="rId406" Type="http://schemas.openxmlformats.org/officeDocument/2006/relationships/hyperlink" Target="https://www.monoutildegestion.fr/comparatif/comparatif-plateformes-agreees-facturation-electronique-2026" TargetMode="External"/><Relationship Id="rId648" Type="http://schemas.openxmlformats.org/officeDocument/2006/relationships/hyperlink" Target="https://www.annolis.com/tarif-expert-comptable-2025/" TargetMode="External"/><Relationship Id="rId405" Type="http://schemas.openxmlformats.org/officeDocument/2006/relationships/hyperlink" Target="https://qonto.com/fr/blog/qonto/compte-pro-vs-banques/banque-pro-moins-chere" TargetMode="External"/><Relationship Id="rId647" Type="http://schemas.openxmlformats.org/officeDocument/2006/relationships/hyperlink" Target="https://www.hlp-audit.fr/expertise-comptable/etablissement-comptes-annuels/budget-previsionnel/" TargetMode="External"/><Relationship Id="rId889" Type="http://schemas.openxmlformats.org/officeDocument/2006/relationships/hyperlink" Target="https://www.pennylane.com/fr/fiches-pratiques/compte-pro/les-documents-a-fournir-pour-louverture-dun-compte-pro" TargetMode="External"/><Relationship Id="rId880" Type="http://schemas.openxmlformats.org/officeDocument/2006/relationships/hyperlink" Target="https://www.coover.fr/banque-pro/compte-pro-sans-banque" TargetMode="External"/><Relationship Id="rId400" Type="http://schemas.openxmlformats.org/officeDocument/2006/relationships/hyperlink" Target="https://www.detective-banque.fr/banque/banque-pro/ouvrir-un-compte-pro-sans-kbis/" TargetMode="External"/><Relationship Id="rId642" Type="http://schemas.openxmlformats.org/officeDocument/2006/relationships/hyperlink" Target="https://declarpro.fr/blog/comparatif-logiciels-facturation-btp-2026" TargetMode="External"/><Relationship Id="rId884" Type="http://schemas.openxmlformats.org/officeDocument/2006/relationships/hyperlink" Target="https://www.dougs.fr/blog/expert-comptable-independant/" TargetMode="External"/><Relationship Id="rId641" Type="http://schemas.openxmlformats.org/officeDocument/2006/relationships/hyperlink" Target="https://www.facturation-electronique.fr/" TargetMode="External"/><Relationship Id="rId883" Type="http://schemas.openxmlformats.org/officeDocument/2006/relationships/hyperlink" Target="https://www.dougs.fr/blog/meilleure-banque-en-ligne/" TargetMode="External"/><Relationship Id="rId640" Type="http://schemas.openxmlformats.org/officeDocument/2006/relationships/hyperlink" Target="https://www.taktik-informatique.fr/actualites/les-astuces/logiciels-et-applications/facturation-electronique-obligatoire-2026-2027-ce-que-toutes-les-entreprises-doivent-savoir.html" TargetMode="External"/><Relationship Id="rId882" Type="http://schemas.openxmlformats.org/officeDocument/2006/relationships/hyperlink" Target="https://www.keobiz.fr/" TargetMode="External"/><Relationship Id="rId881" Type="http://schemas.openxmlformats.org/officeDocument/2006/relationships/hyperlink" Target="https://www.keobiz.fr/metier/artisan-et-commercant/" TargetMode="External"/><Relationship Id="rId635" Type="http://schemas.openxmlformats.org/officeDocument/2006/relationships/hyperlink" Target="https://bfc.experts-comptables.fr/qui-sommes-nous/qu-est-ce-qu-un-expert-comptable" TargetMode="External"/><Relationship Id="rId877" Type="http://schemas.openxmlformats.org/officeDocument/2006/relationships/hyperlink" Target="https://www.portail-autoentrepreneur.fr/academie/comparatifs/banques/meilleure-neobanque" TargetMode="External"/><Relationship Id="rId634" Type="http://schemas.openxmlformats.org/officeDocument/2006/relationships/hyperlink" Target="https://www.onisep.fr/ressources/univers-metier/metiers/expert-comptable-experte-comptable" TargetMode="External"/><Relationship Id="rId876" Type="http://schemas.openxmlformats.org/officeDocument/2006/relationships/hyperlink" Target="https://www.portail-autoentrepreneur.fr/academie/gestion-auto-entreprise/facturation/facture-electronique-obligatoire" TargetMode="External"/><Relationship Id="rId633" Type="http://schemas.openxmlformats.org/officeDocument/2006/relationships/hyperlink" Target="https://www.experts-comptables.org/devenir-expert-comptable/qu-est-ce-qu-un-expert-comptable" TargetMode="External"/><Relationship Id="rId875" Type="http://schemas.openxmlformats.org/officeDocument/2006/relationships/hyperlink" Target="https://propulsebyca.fr/compte-pro/comparatif/neobanque-pro" TargetMode="External"/><Relationship Id="rId632" Type="http://schemas.openxmlformats.org/officeDocument/2006/relationships/hyperlink" Target="https://www.oec-occitanie.org/decouvrir-la-profession/qu-est-ce-qu-un-expert-comptable" TargetMode="External"/><Relationship Id="rId874" Type="http://schemas.openxmlformats.org/officeDocument/2006/relationships/hyperlink" Target="https://www.tgs-france.fr/agences/cabinet-comptable-tours/" TargetMode="External"/><Relationship Id="rId639" Type="http://schemas.openxmlformats.org/officeDocument/2006/relationships/hyperlink" Target="https://www.cabinetbourgeon.fr/facturation-electronique-obligatoire-2026/" TargetMode="External"/><Relationship Id="rId638" Type="http://schemas.openxmlformats.org/officeDocument/2006/relationships/hyperlink" Target="https://www.arcgestion.fr/blog/facturation-electronique-2026-tpe-pme/" TargetMode="External"/><Relationship Id="rId637" Type="http://schemas.openxmlformats.org/officeDocument/2006/relationships/hyperlink" Target="https://www.ecoce.fr/actualites/reforme-facturation-electronique-accompagnement-expert-comptable-alsace/" TargetMode="External"/><Relationship Id="rId879" Type="http://schemas.openxmlformats.org/officeDocument/2006/relationships/hyperlink" Target="https://www.coover.fr/expert-comptable/en-ligne" TargetMode="External"/><Relationship Id="rId636" Type="http://schemas.openxmlformats.org/officeDocument/2006/relationships/hyperlink" Target="https://www.ecoce.fr/" TargetMode="External"/><Relationship Id="rId878" Type="http://schemas.openxmlformats.org/officeDocument/2006/relationships/hyperlink" Target="https://microcitron.fr/blog/les-meilleures-neobanques-pour-auto-entrepreneurs" TargetMode="External"/><Relationship Id="rId631" Type="http://schemas.openxmlformats.org/officeDocument/2006/relationships/hyperlink" Target="https://www.bmfiduciaire.fr/quest-quun-expert-comptable/" TargetMode="External"/><Relationship Id="rId873" Type="http://schemas.openxmlformats.org/officeDocument/2006/relationships/hyperlink" Target="https://www.tgs-france.fr/actualites/tgs-france-classe-parmi-les-meilleurs-cabinets-d-expertise-comptable/" TargetMode="External"/><Relationship Id="rId630" Type="http://schemas.openxmlformats.org/officeDocument/2006/relationships/hyperlink" Target="https://www.selexium.com/expert-comptable/" TargetMode="External"/><Relationship Id="rId872" Type="http://schemas.openxmlformats.org/officeDocument/2006/relationships/hyperlink" Target="https://www.tgs-france.fr/services/solutions-retraite/" TargetMode="External"/><Relationship Id="rId871" Type="http://schemas.openxmlformats.org/officeDocument/2006/relationships/hyperlink" Target="https://www.tgs-france.fr/actualites/tgs-france-distinguemeilleurs-cabinets-expertise-comptable-2025-le-point/" TargetMode="External"/><Relationship Id="rId870" Type="http://schemas.openxmlformats.org/officeDocument/2006/relationships/hyperlink" Target="https://www.fiducial.fr/facturation-electronique" TargetMode="External"/><Relationship Id="rId829" Type="http://schemas.openxmlformats.org/officeDocument/2006/relationships/hyperlink" Target="https://www.shine.fr/compte-pro/sasu/" TargetMode="External"/><Relationship Id="rId828" Type="http://schemas.openxmlformats.org/officeDocument/2006/relationships/hyperlink" Target="https://www.shine.fr/compte-pro/sas/" TargetMode="External"/><Relationship Id="rId827" Type="http://schemas.openxmlformats.org/officeDocument/2006/relationships/hyperlink" Target="https://www.shine.fr/blog/meilleurs-logiciels-facturation-electronique/" TargetMode="External"/><Relationship Id="rId822" Type="http://schemas.openxmlformats.org/officeDocument/2006/relationships/hyperlink" Target="https://expert-comptable-en-ligne.fr/expertise-comptable/comptabilite-TPE-PME.php" TargetMode="External"/><Relationship Id="rId821" Type="http://schemas.openxmlformats.org/officeDocument/2006/relationships/hyperlink" Target="https://international-pratique.com/2024/02/05/facturation-electronique-a-partir-de-septembre-2026-premiere-liste-doperateurs-candidats-plateforme-de-dematerialisation-partenaire-pdp/" TargetMode="External"/><Relationship Id="rId820" Type="http://schemas.openxmlformats.org/officeDocument/2006/relationships/hyperlink" Target="https://www.mapaye.fr/" TargetMode="External"/><Relationship Id="rId826" Type="http://schemas.openxmlformats.org/officeDocument/2006/relationships/hyperlink" Target="https://www.l-expert-comptable.com/start-ups" TargetMode="External"/><Relationship Id="rId825" Type="http://schemas.openxmlformats.org/officeDocument/2006/relationships/hyperlink" Target="https://www.l-expert-comptable.com/a/7438-expert-comptable-paris.html" TargetMode="External"/><Relationship Id="rId824" Type="http://schemas.openxmlformats.org/officeDocument/2006/relationships/hyperlink" Target="https://www.l-expert-comptable.com/a/differences-comptable-expert-comptable.html" TargetMode="External"/><Relationship Id="rId823" Type="http://schemas.openxmlformats.org/officeDocument/2006/relationships/hyperlink" Target="https://www.l-expert-comptable.com/c/expert-comptable-metier" TargetMode="External"/><Relationship Id="rId819" Type="http://schemas.openxmlformats.org/officeDocument/2006/relationships/hyperlink" Target="https://www.mapaye.fr/externalisation-de-la-paie" TargetMode="External"/><Relationship Id="rId818" Type="http://schemas.openxmlformats.org/officeDocument/2006/relationships/hyperlink" Target="https://www.mapaye.fr/externalisation-vs-internalisation" TargetMode="External"/><Relationship Id="rId817" Type="http://schemas.openxmlformats.org/officeDocument/2006/relationships/hyperlink" Target="https://www.pc-consulting-paie.fr/1-8.htm" TargetMode="External"/><Relationship Id="rId816" Type="http://schemas.openxmlformats.org/officeDocument/2006/relationships/hyperlink" Target="https://www.monembauchefacile.fr/externalisation-de-paie" TargetMode="External"/><Relationship Id="rId811" Type="http://schemas.openxmlformats.org/officeDocument/2006/relationships/hyperlink" Target="https://numbr.co/avis/" TargetMode="External"/><Relationship Id="rId810" Type="http://schemas.openxmlformats.org/officeDocument/2006/relationships/hyperlink" Target="https://monsieur-compta.fr/expert-comptable-creation-entreprise/" TargetMode="External"/><Relationship Id="rId815" Type="http://schemas.openxmlformats.org/officeDocument/2006/relationships/hyperlink" Target="https://leopaie.fr/" TargetMode="External"/><Relationship Id="rId814" Type="http://schemas.openxmlformats.org/officeDocument/2006/relationships/hyperlink" Target="https://www.advyse.fr/expertises/creation-entreprise/" TargetMode="External"/><Relationship Id="rId813" Type="http://schemas.openxmlformats.org/officeDocument/2006/relationships/hyperlink" Target="https://www.advyse.fr/profil/createur-entreprise/" TargetMode="External"/><Relationship Id="rId812" Type="http://schemas.openxmlformats.org/officeDocument/2006/relationships/hyperlink" Target="https://www.cabinet-lefebvre.fr/creation-entreprise" TargetMode="External"/><Relationship Id="rId609" Type="http://schemas.openxmlformats.org/officeDocument/2006/relationships/hyperlink" Target="https://avocat-carrez.com/" TargetMode="External"/><Relationship Id="rId608" Type="http://schemas.openxmlformats.org/officeDocument/2006/relationships/hyperlink" Target="https://www.pezet-avocats.fr/fr/competences-avocats/id-10-avocats-droit-des-affaires" TargetMode="External"/><Relationship Id="rId607" Type="http://schemas.openxmlformats.org/officeDocument/2006/relationships/hyperlink" Target="https://rebufat-avocats.com/cabinet-davocats/avocat-droit-des-affaires-pourquoi-et-quand-consulter-a-marseille/" TargetMode="External"/><Relationship Id="rId849" Type="http://schemas.openxmlformats.org/officeDocument/2006/relationships/hyperlink" Target="https://www.agirc-arrco.fr/nous-connaitre/nos-actualites/rendez-vous-de-la-retraite-succes-public-et-mediatique/" TargetMode="External"/><Relationship Id="rId602" Type="http://schemas.openxmlformats.org/officeDocument/2006/relationships/hyperlink" Target="https://www.riftavocats.fr/avocat-fiscaliste-marseille" TargetMode="External"/><Relationship Id="rId844" Type="http://schemas.openxmlformats.org/officeDocument/2006/relationships/hyperlink" Target="https://www.agirc-arrco.fr/particuliers/mes_contacts/nous-contacter/prendre-rendez-vous/" TargetMode="External"/><Relationship Id="rId601" Type="http://schemas.openxmlformats.org/officeDocument/2006/relationships/hyperlink" Target="https://www.lmavocats.net/" TargetMode="External"/><Relationship Id="rId843" Type="http://schemas.openxmlformats.org/officeDocument/2006/relationships/hyperlink" Target="https://www.agirc-arrco.fr/agences-retraite/accueil-conseil-retraite-agirc-arrco-de-marseille-agence-pro-btp/" TargetMode="External"/><Relationship Id="rId600" Type="http://schemas.openxmlformats.org/officeDocument/2006/relationships/hyperlink" Target="https://www.annuaireavocats.fr/cabinets/droit-des-affaires/marseille" TargetMode="External"/><Relationship Id="rId842" Type="http://schemas.openxmlformats.org/officeDocument/2006/relationships/hyperlink" Target="https://www.agirc-arrco.fr/particuliers/mes-services-particuliers/accompagnement-et-prevention/" TargetMode="External"/><Relationship Id="rId841" Type="http://schemas.openxmlformats.org/officeDocument/2006/relationships/hyperlink" Target="https://www.agirc-arrco.fr/particuliers/mes-services-particuliers/accompagnement-et-prevention" TargetMode="External"/><Relationship Id="rId606" Type="http://schemas.openxmlformats.org/officeDocument/2006/relationships/hyperlink" Target="https://www.cabinet-leroux.com/fr/avocat-marseille-competences/id-19-droit-des-affaires" TargetMode="External"/><Relationship Id="rId848" Type="http://schemas.openxmlformats.org/officeDocument/2006/relationships/hyperlink" Target="https://www.agirc-arrco.fr/nous-connaitre/nos-actualites/lagirc-arrco-vous-invite-a-realiser-un-bilan-de-prevention/%2B33970660660" TargetMode="External"/><Relationship Id="rId605" Type="http://schemas.openxmlformats.org/officeDocument/2006/relationships/hyperlink" Target="https://www.avocatayoun.fr/droit-des-affaires-w1.html" TargetMode="External"/><Relationship Id="rId847" Type="http://schemas.openxmlformats.org/officeDocument/2006/relationships/hyperlink" Target="https://www.agirc-arrco.fr/nous-connaitre/nos-actualites/lagirc-arrco-vous-invite-a-realiser-un-bilan-de-prevention/" TargetMode="External"/><Relationship Id="rId604" Type="http://schemas.openxmlformats.org/officeDocument/2006/relationships/hyperlink" Target="https://www.avocatia.com/" TargetMode="External"/><Relationship Id="rId846" Type="http://schemas.openxmlformats.org/officeDocument/2006/relationships/hyperlink" Target="https://www.agirc-arrco.fr/profil/nous-connaitre/" TargetMode="External"/><Relationship Id="rId603" Type="http://schemas.openxmlformats.org/officeDocument/2006/relationships/hyperlink" Target="https://www.fsavocats.fr/" TargetMode="External"/><Relationship Id="rId845" Type="http://schemas.openxmlformats.org/officeDocument/2006/relationships/hyperlink" Target="https://www.agirc-arrco.fr/particuliers/les-experts-retraite/" TargetMode="External"/><Relationship Id="rId840" Type="http://schemas.openxmlformats.org/officeDocument/2006/relationships/hyperlink" Target="https://www.swisslife.fr/swiss-life-en-france/yourlifestories/Entretiens-retraite-gratuits-Agirc-Arrco.html" TargetMode="External"/><Relationship Id="rId839" Type="http://schemas.openxmlformats.org/officeDocument/2006/relationships/hyperlink" Target="https://www.swisslife.fr/expert-comptable/protection-du-dirigeant/epargne-chef-d-entreprise.html" TargetMode="External"/><Relationship Id="rId838" Type="http://schemas.openxmlformats.org/officeDocument/2006/relationships/hyperlink" Target="https://www.shine.fr/experts-comptables-partenaires/" TargetMode="External"/><Relationship Id="rId833" Type="http://schemas.openxmlformats.org/officeDocument/2006/relationships/hyperlink" Target="https://www.shine.fr/shine-vs-hellobankpro/" TargetMode="External"/><Relationship Id="rId832" Type="http://schemas.openxmlformats.org/officeDocument/2006/relationships/hyperlink" Target="https://www.shine.fr/blog/meilleurs-comptes-pro-tpe/" TargetMode="External"/><Relationship Id="rId831" Type="http://schemas.openxmlformats.org/officeDocument/2006/relationships/hyperlink" Target="https://www.shine.fr/creation-sasu/" TargetMode="External"/><Relationship Id="rId830" Type="http://schemas.openxmlformats.org/officeDocument/2006/relationships/hyperlink" Target="https://www.shine.fr/compte-pro/sarl/" TargetMode="External"/><Relationship Id="rId837" Type="http://schemas.openxmlformats.org/officeDocument/2006/relationships/hyperlink" Target="https://www.shine.fr/experts/comptables/" TargetMode="External"/><Relationship Id="rId836" Type="http://schemas.openxmlformats.org/officeDocument/2006/relationships/hyperlink" Target="https://www.shine.fr/blog/meilleurs-comptes-pro-en-ligne/" TargetMode="External"/><Relationship Id="rId835" Type="http://schemas.openxmlformats.org/officeDocument/2006/relationships/hyperlink" Target="https://www.shine.fr/blog/meilleures-alternatives-qonto/" TargetMode="External"/><Relationship Id="rId834" Type="http://schemas.openxmlformats.org/officeDocument/2006/relationships/hyperlink" Target="https://www.shine.fr/comparatif-comptes-pro/" TargetMode="External"/><Relationship Id="rId228" Type="http://schemas.openxmlformats.org/officeDocument/2006/relationships/hyperlink" Target="https://www.auto-entrepreneur.fr/ressource/accompagnement" TargetMode="External"/><Relationship Id="rId227" Type="http://schemas.openxmlformats.org/officeDocument/2006/relationships/hyperlink" Target="https://www.1jeune1solution.gouv.fr/entreprendre" TargetMode="External"/><Relationship Id="rId469" Type="http://schemas.openxmlformats.org/officeDocument/2006/relationships/hyperlink" Target="https://www.expertsteam.fr/facturation-electronique" TargetMode="External"/><Relationship Id="rId226" Type="http://schemas.openxmlformats.org/officeDocument/2006/relationships/hyperlink" Target="https://www.lecoindesentrepreneurs.fr/preparation-projet-creation-entreprise/accompagnement-creation-entreprise/" TargetMode="External"/><Relationship Id="rId468" Type="http://schemas.openxmlformats.org/officeDocument/2006/relationships/hyperlink" Target="https://www.epec.paris/sarh-tpe-pme-editeurs-de-logiciels-de-facturation-et-de-solutions-comptables-actualites-de-la-0" TargetMode="External"/><Relationship Id="rId225" Type="http://schemas.openxmlformats.org/officeDocument/2006/relationships/hyperlink" Target="https://www.data.gouv.fr/datasets/liste-des-plateformes-agreees-pour-la-facturation-electronique" TargetMode="External"/><Relationship Id="rId467" Type="http://schemas.openxmlformats.org/officeDocument/2006/relationships/hyperlink" Target="https://www.cohesio.net/actualites/cohesio-prime-au-palmares-des-meilleurs-cabinets-dexpertise-comptable/" TargetMode="External"/><Relationship Id="rId229" Type="http://schemas.openxmlformats.org/officeDocument/2006/relationships/hyperlink" Target="https://sinvestir.fr/meilleure-banque-pro-en-ligne/" TargetMode="External"/><Relationship Id="rId220" Type="http://schemas.openxmlformats.org/officeDocument/2006/relationships/hyperlink" Target="https://www.retraiteconseil.com/" TargetMode="External"/><Relationship Id="rId462" Type="http://schemas.openxmlformats.org/officeDocument/2006/relationships/hyperlink" Target="https://www.cmexpert.fr/" TargetMode="External"/><Relationship Id="rId461" Type="http://schemas.openxmlformats.org/officeDocument/2006/relationships/hyperlink" Target="https://www.blgexpertise.com/" TargetMode="External"/><Relationship Id="rId460" Type="http://schemas.openxmlformats.org/officeDocument/2006/relationships/hyperlink" Target="https://www.blgexpertise.com/le-cabinet" TargetMode="External"/><Relationship Id="rId224" Type="http://schemas.openxmlformats.org/officeDocument/2006/relationships/hyperlink" Target="https://talenteum.com/fr/comptable-externalise-transformer-votre-fonction-finance-en-centre-de-performance/" TargetMode="External"/><Relationship Id="rId466" Type="http://schemas.openxmlformats.org/officeDocument/2006/relationships/hyperlink" Target="https://www.banquepopulaire.fr/professionnels/gerer-developper-activite/logiciel-gestion-facturation-electronique/" TargetMode="External"/><Relationship Id="rId223" Type="http://schemas.openxmlformats.org/officeDocument/2006/relationships/hyperlink" Target="https://www.banque.com/banque-la-moins-chere/" TargetMode="External"/><Relationship Id="rId465" Type="http://schemas.openxmlformats.org/officeDocument/2006/relationships/hyperlink" Target="https://mbfconseils.fr/" TargetMode="External"/><Relationship Id="rId222" Type="http://schemas.openxmlformats.org/officeDocument/2006/relationships/hyperlink" Target="https://facturation-electronique-comparatif.fr/banque-pro-facturation/avec-facturation-integree/" TargetMode="External"/><Relationship Id="rId464" Type="http://schemas.openxmlformats.org/officeDocument/2006/relationships/hyperlink" Target="https://mbfconseils.fr/cabinet-comptable-colmar/tpe-pme/" TargetMode="External"/><Relationship Id="rId221" Type="http://schemas.openxmlformats.org/officeDocument/2006/relationships/hyperlink" Target="https://www.banquebcp.fr/professionnels/gerer-vos-comptes-au-quotidien/logiciel-gestion-facture-electronique/" TargetMode="External"/><Relationship Id="rId463" Type="http://schemas.openxmlformats.org/officeDocument/2006/relationships/hyperlink" Target="https://mbfconseils.fr/expert-comptable-colmar/" TargetMode="External"/><Relationship Id="rId217" Type="http://schemas.openxmlformats.org/officeDocument/2006/relationships/hyperlink" Target="https://www.oxalys.fr/blog/facturation-electronique/pdp-deviennent-plateformes-agreees-quest-ce-qui-change/" TargetMode="External"/><Relationship Id="rId459" Type="http://schemas.openxmlformats.org/officeDocument/2006/relationships/hyperlink" Target="https://www.cabinet-henny.com/" TargetMode="External"/><Relationship Id="rId216" Type="http://schemas.openxmlformats.org/officeDocument/2006/relationships/hyperlink" Target="https://tenorsolutions.com/solutions/plateforme-pdp/" TargetMode="External"/><Relationship Id="rId458" Type="http://schemas.openxmlformats.org/officeDocument/2006/relationships/hyperlink" Target="https://www.ecol-expert.fr/" TargetMode="External"/><Relationship Id="rId215" Type="http://schemas.openxmlformats.org/officeDocument/2006/relationships/hyperlink" Target="https://www.comparabanques.fr/comparatif-banque/moins-chere" TargetMode="External"/><Relationship Id="rId457" Type="http://schemas.openxmlformats.org/officeDocument/2006/relationships/hyperlink" Target="https://www.cabinetdelaroque.fr/notre-cabinet/notre-bureau" TargetMode="External"/><Relationship Id="rId699" Type="http://schemas.openxmlformats.org/officeDocument/2006/relationships/hyperlink" Target="https://fna.fr/documents/facturation-electronique-obligatoire-entre-entreprises-a-compter-de-2026/" TargetMode="External"/><Relationship Id="rId214" Type="http://schemas.openxmlformats.org/officeDocument/2006/relationships/hyperlink" Target="https://qonto.com/fr/blog/qonto/compte-pro-vs-banques/meilleures-banques-pour-entreprises" TargetMode="External"/><Relationship Id="rId456" Type="http://schemas.openxmlformats.org/officeDocument/2006/relationships/hyperlink" Target="https://www.cabinet-preiss-grunenwald.fr/" TargetMode="External"/><Relationship Id="rId698" Type="http://schemas.openxmlformats.org/officeDocument/2006/relationships/hyperlink" Target="https://www.jepilotemonentreprise.com/facturation-comptabilite/liste-pdp-facturation-electronique/" TargetMode="External"/><Relationship Id="rId219" Type="http://schemas.openxmlformats.org/officeDocument/2006/relationships/hyperlink" Target="https://www.ct-retraite.fr/" TargetMode="External"/><Relationship Id="rId218" Type="http://schemas.openxmlformats.org/officeDocument/2006/relationships/hyperlink" Target="https://www.impots.gouv.fr/facturation-electronique-et-plateformes-partenaires" TargetMode="External"/><Relationship Id="rId451" Type="http://schemas.openxmlformats.org/officeDocument/2006/relationships/hyperlink" Target="https://www.levlaw-avocats.fr/droit-des-societes.php" TargetMode="External"/><Relationship Id="rId693" Type="http://schemas.openxmlformats.org/officeDocument/2006/relationships/hyperlink" Target="https://go.sellsy.com/blog/meilleurs-logiciels-dematerialisation-facture" TargetMode="External"/><Relationship Id="rId450" Type="http://schemas.openxmlformats.org/officeDocument/2006/relationships/hyperlink" Target="https://saasforge.fr/comparatifs/logiciels-facturation-tpe-2026" TargetMode="External"/><Relationship Id="rId692" Type="http://schemas.openxmlformats.org/officeDocument/2006/relationships/hyperlink" Target="https://go.sellsy.com/blog/meilleurs-logiciels-facturation-tpe" TargetMode="External"/><Relationship Id="rId691" Type="http://schemas.openxmlformats.org/officeDocument/2006/relationships/hyperlink" Target="https://retraite-conseils.fr/contact/" TargetMode="External"/><Relationship Id="rId690" Type="http://schemas.openxmlformats.org/officeDocument/2006/relationships/hyperlink" Target="https://retraite-conseils.fr/" TargetMode="External"/><Relationship Id="rId213" Type="http://schemas.openxmlformats.org/officeDocument/2006/relationships/hyperlink" Target="https://www.indy.fr/guide/comptabilite-en-ligne/comptable/comptable-en-ligne-avis/" TargetMode="External"/><Relationship Id="rId455" Type="http://schemas.openxmlformats.org/officeDocument/2006/relationships/hyperlink" Target="https://conso-magazine.com/banque-quelles-enseignes-restent-les-moins-cheres-en-2026-pour-les-clients-du-quotidien/" TargetMode="External"/><Relationship Id="rId697" Type="http://schemas.openxmlformats.org/officeDocument/2006/relationships/hyperlink" Target="https://www.lfc-conseil.fr/la-facture-electronique-obligatoire-a-partir-de-2026/" TargetMode="External"/><Relationship Id="rId212" Type="http://schemas.openxmlformats.org/officeDocument/2006/relationships/hyperlink" Target="https://www.detective-banque.fr/banque/banque-pro/compte-pro-creation-dentreprise/" TargetMode="External"/><Relationship Id="rId454" Type="http://schemas.openxmlformats.org/officeDocument/2006/relationships/hyperlink" Target="https://www.victorisavocat.com/domaines/avocat-droit-des-affaires" TargetMode="External"/><Relationship Id="rId696" Type="http://schemas.openxmlformats.org/officeDocument/2006/relationships/hyperlink" Target="https://www.exe-conseil.fr/blog/actualites-9/la-facturation-electronique-obligatoire-en-2026-comment-preparer-votre-entreprise-a-cette-revolution-numerique-8" TargetMode="External"/><Relationship Id="rId211" Type="http://schemas.openxmlformats.org/officeDocument/2006/relationships/hyperlink" Target="https://www.detective-banque.fr/banque/banque-pro/compte-pro-avec-tpe/" TargetMode="External"/><Relationship Id="rId453" Type="http://schemas.openxmlformats.org/officeDocument/2006/relationships/hyperlink" Target="https://avocat-gayola.fr/avocat-creation-tpe-paris/" TargetMode="External"/><Relationship Id="rId695" Type="http://schemas.openxmlformats.org/officeDocument/2006/relationships/hyperlink" Target="https://xavierminali.com/fr/perspectives-strategiques-blog-transformation-numerique/facturation-%C3%A9lectronique-obligatoire-2026-checklist-de-conformit%C3%A9" TargetMode="External"/><Relationship Id="rId210" Type="http://schemas.openxmlformats.org/officeDocument/2006/relationships/hyperlink" Target="https://www.detective-banque.fr/banque/banque-pro/compte-pro-avec-outil-de-facturation/" TargetMode="External"/><Relationship Id="rId452" Type="http://schemas.openxmlformats.org/officeDocument/2006/relationships/hyperlink" Target="https://www.sassi-avocats.com/" TargetMode="External"/><Relationship Id="rId694" Type="http://schemas.openxmlformats.org/officeDocument/2006/relationships/hyperlink" Target="https://go.sellsy.com/blog/lliste-pdp-autorisees" TargetMode="External"/><Relationship Id="rId491" Type="http://schemas.openxmlformats.org/officeDocument/2006/relationships/hyperlink" Target="https://facturation-electronique-comparatif.fr/banque-pro-facturation/micro-entrepreneur/" TargetMode="External"/><Relationship Id="rId490" Type="http://schemas.openxmlformats.org/officeDocument/2006/relationships/hyperlink" Target="https://facturation-electronique-comparatif.fr/comparatif/" TargetMode="External"/><Relationship Id="rId249" Type="http://schemas.openxmlformats.org/officeDocument/2006/relationships/hyperlink" Target="https://prosper-conseil.fr/entreprise/optimisation-remuneration-dirigeant/" TargetMode="External"/><Relationship Id="rId248" Type="http://schemas.openxmlformats.org/officeDocument/2006/relationships/hyperlink" Target="https://www.neoviaretraite.fr/profils/dirigeant/" TargetMode="External"/><Relationship Id="rId247" Type="http://schemas.openxmlformats.org/officeDocument/2006/relationships/hyperlink" Target="https://factpulse.fr/docs/guide-pme-preparation-facturation-electronique-2026/" TargetMode="External"/><Relationship Id="rId489" Type="http://schemas.openxmlformats.org/officeDocument/2006/relationships/hyperlink" Target="https://www.procompta.com/outils-en-ligne" TargetMode="External"/><Relationship Id="rId242" Type="http://schemas.openxmlformats.org/officeDocument/2006/relationships/hyperlink" Target="https://www.pca-patrimoine.fr/strategies-de-retraite-pour-les-dirigeants-dentreprise/" TargetMode="External"/><Relationship Id="rId484" Type="http://schemas.openxmlformats.org/officeDocument/2006/relationships/hyperlink" Target="https://axonaut.com/blog/banque-physique-la-moins-chere/" TargetMode="External"/><Relationship Id="rId241" Type="http://schemas.openxmlformats.org/officeDocument/2006/relationships/hyperlink" Target="https://www.bdo.fr/fr-fr/services/expertise-comptable/gouvernance/dirigeant" TargetMode="External"/><Relationship Id="rId483" Type="http://schemas.openxmlformats.org/officeDocument/2006/relationships/hyperlink" Target="https://www.blendy.co/post/les-meilleurs-comptes-pro-pour-pme-en-croissance-notre-comparatif-2025" TargetMode="External"/><Relationship Id="rId240" Type="http://schemas.openxmlformats.org/officeDocument/2006/relationships/hyperlink" Target="https://dext.com/fr/ressources/comparatif-plateformes-agreees-facturation-electronique" TargetMode="External"/><Relationship Id="rId482" Type="http://schemas.openxmlformats.org/officeDocument/2006/relationships/hyperlink" Target="https://www.economiser-mon-argent.com/banque-pro/" TargetMode="External"/><Relationship Id="rId481" Type="http://schemas.openxmlformats.org/officeDocument/2006/relationships/hyperlink" Target="https://www.gan.fr/conseil/optimiser-votre-retraite-en-tant-que-dirigeant-dentreprise/" TargetMode="External"/><Relationship Id="rId246" Type="http://schemas.openxmlformats.org/officeDocument/2006/relationships/hyperlink" Target="https://entreprendre.service-public.gouv.fr/actualites/A18759" TargetMode="External"/><Relationship Id="rId488" Type="http://schemas.openxmlformats.org/officeDocument/2006/relationships/hyperlink" Target="https://go.incwo.com/compte-pro-et-tresorerie/" TargetMode="External"/><Relationship Id="rId245" Type="http://schemas.openxmlformats.org/officeDocument/2006/relationships/hyperlink" Target="https://entreprendre.service-public.gouv.fr/vosdroits/F35939" TargetMode="External"/><Relationship Id="rId487" Type="http://schemas.openxmlformats.org/officeDocument/2006/relationships/hyperlink" Target="https://fullcompta.fr/comptabilite-et-facturation/" TargetMode="External"/><Relationship Id="rId244" Type="http://schemas.openxmlformats.org/officeDocument/2006/relationships/hyperlink" Target="https://www.heropay.eu/fr/blog/comparatif-banque-pro-traditionnelle" TargetMode="External"/><Relationship Id="rId486" Type="http://schemas.openxmlformats.org/officeDocument/2006/relationships/hyperlink" Target="https://www.budgetbanque.fr/comparateur-banques-pro" TargetMode="External"/><Relationship Id="rId243" Type="http://schemas.openxmlformats.org/officeDocument/2006/relationships/hyperlink" Target="https://pluriel-conseils.fr/tpe-pme/" TargetMode="External"/><Relationship Id="rId485" Type="http://schemas.openxmlformats.org/officeDocument/2006/relationships/hyperlink" Target="https://axonaut.com/blog/comparatif-banque-pro-traditionnelle/" TargetMode="External"/><Relationship Id="rId480" Type="http://schemas.openxmlformats.org/officeDocument/2006/relationships/hyperlink" Target="https://www.axens-audit.fr/expertises/retraite-prevoyance-protection-sociale/retraite-du-dirigeant/" TargetMode="External"/><Relationship Id="rId239" Type="http://schemas.openxmlformats.org/officeDocument/2006/relationships/hyperlink" Target="https://analyse-retraite.fr/" TargetMode="External"/><Relationship Id="rId238" Type="http://schemas.openxmlformats.org/officeDocument/2006/relationships/hyperlink" Target="https://foxeet.fr/contenu/comparatif-candidats-pdp-facture-electronique-2025" TargetMode="External"/><Relationship Id="rId237" Type="http://schemas.openxmlformats.org/officeDocument/2006/relationships/hyperlink" Target="https://www.companeo.com/gestion-de-la-paie/guide/externaliser-la-paie-combien-ca-coute-vraiment" TargetMode="External"/><Relationship Id="rId479" Type="http://schemas.openxmlformats.org/officeDocument/2006/relationships/hyperlink" Target="https://info.dext.com/fr/facture-electronique-tableau-comparatif-plateformes-ppf-od-pdp" TargetMode="External"/><Relationship Id="rId236" Type="http://schemas.openxmlformats.org/officeDocument/2006/relationships/hyperlink" Target="https://axiomeassocies.fr/axiome-5-etoiles-experts-comptables-le-point-2026/" TargetMode="External"/><Relationship Id="rId478" Type="http://schemas.openxmlformats.org/officeDocument/2006/relationships/hyperlink" Target="https://solutions.srci.fr/types-plateformes-facturation-electronique/" TargetMode="External"/><Relationship Id="rId231" Type="http://schemas.openxmlformats.org/officeDocument/2006/relationships/hyperlink" Target="https://www.optalis-connect.com/expert-comptable-pour-etablir-un-budget-previsionnel" TargetMode="External"/><Relationship Id="rId473" Type="http://schemas.openxmlformats.org/officeDocument/2006/relationships/hyperlink" Target="https://www.xpays.fr/notre-offre/expertise-comptable-gestion-ressources-humaines-paye-112" TargetMode="External"/><Relationship Id="rId230" Type="http://schemas.openxmlformats.org/officeDocument/2006/relationships/hyperlink" Target="https://www.legalplace.fr/guides/accompagnement-creation-entreprise/" TargetMode="External"/><Relationship Id="rId472" Type="http://schemas.openxmlformats.org/officeDocument/2006/relationships/hyperlink" Target="https://www.propaieconsulting.fr/paies/externalisation-de-la-paie" TargetMode="External"/><Relationship Id="rId471" Type="http://schemas.openxmlformats.org/officeDocument/2006/relationships/hyperlink" Target="https://stackindep.fr/banque-pro/obligation-compte-pro" TargetMode="External"/><Relationship Id="rId470" Type="http://schemas.openxmlformats.org/officeDocument/2006/relationships/hyperlink" Target="https://www.mon-expert-en-gestion.com/ressources/facture-electronique-votre-expert-comptable-un-allie-indispensable/" TargetMode="External"/><Relationship Id="rId235" Type="http://schemas.openxmlformats.org/officeDocument/2006/relationships/hyperlink" Target="https://comparateur-efacturation.fr/" TargetMode="External"/><Relationship Id="rId477" Type="http://schemas.openxmlformats.org/officeDocument/2006/relationships/hyperlink" Target="https://www.gpe-solutions.fr/" TargetMode="External"/><Relationship Id="rId234" Type="http://schemas.openxmlformats.org/officeDocument/2006/relationships/hyperlink" Target="https://comparateur-efacturation.fr/logiciel-facturation" TargetMode="External"/><Relationship Id="rId476" Type="http://schemas.openxmlformats.org/officeDocument/2006/relationships/hyperlink" Target="https://efficiencepaie.fr/" TargetMode="External"/><Relationship Id="rId233" Type="http://schemas.openxmlformats.org/officeDocument/2006/relationships/hyperlink" Target="https://www.acompli.fr/blog-facturation-electronique-2026.html" TargetMode="External"/><Relationship Id="rId475" Type="http://schemas.openxmlformats.org/officeDocument/2006/relationships/hyperlink" Target="https://www.pgs-solutions.fr/" TargetMode="External"/><Relationship Id="rId232" Type="http://schemas.openxmlformats.org/officeDocument/2006/relationships/hyperlink" Target="https://www.capeos.fr/la-facturation-electronique/" TargetMode="External"/><Relationship Id="rId474" Type="http://schemas.openxmlformats.org/officeDocument/2006/relationships/hyperlink" Target="https://www.clrpaie.fr/" TargetMode="External"/><Relationship Id="rId426" Type="http://schemas.openxmlformats.org/officeDocument/2006/relationships/hyperlink" Target="https://logiciel-facturation.fr/" TargetMode="External"/><Relationship Id="rId668" Type="http://schemas.openxmlformats.org/officeDocument/2006/relationships/hyperlink" Target="https://www.reservatoo.com/es/blog/top-10-software-reserva-en-linea/" TargetMode="External"/><Relationship Id="rId425" Type="http://schemas.openxmlformats.org/officeDocument/2006/relationships/hyperlink" Target="https://www.axess.fr/blog/dematerialisation/plateformes-agreees-remplacent-pdp" TargetMode="External"/><Relationship Id="rId667" Type="http://schemas.openxmlformats.org/officeDocument/2006/relationships/hyperlink" Target="https://www.cerfrance-broceliande.fr/les-pdp-facture-electronique-deviennent-des-plateformes-agreees-pa/" TargetMode="External"/><Relationship Id="rId424" Type="http://schemas.openxmlformats.org/officeDocument/2006/relationships/hyperlink" Target="https://www.parinet.fr/choisir-sa-plateforme-dematerialisation-partenaires/" TargetMode="External"/><Relationship Id="rId666" Type="http://schemas.openxmlformats.org/officeDocument/2006/relationships/hyperlink" Target="https://www.compagnie-fiduciaire.com/notre-accompagnement-a-la-facturation-electronique/" TargetMode="External"/><Relationship Id="rId423" Type="http://schemas.openxmlformats.org/officeDocument/2006/relationships/hyperlink" Target="https://www.certeurope.fr/blog/plateforme-de-dematerialisation-partenaire-pdp/" TargetMode="External"/><Relationship Id="rId665" Type="http://schemas.openxmlformats.org/officeDocument/2006/relationships/hyperlink" Target="https://www.groupama.fr/assurance-professionnels/conseils/preparer-retraite-chef-entreprise/" TargetMode="External"/><Relationship Id="rId429" Type="http://schemas.openxmlformats.org/officeDocument/2006/relationships/hyperlink" Target="https://oceaconcept.fr/service/retraite-des-dirigeants/" TargetMode="External"/><Relationship Id="rId428" Type="http://schemas.openxmlformats.org/officeDocument/2006/relationships/hyperlink" Target="https://www.mastrategieretraite.fr/conseil-expert-retraite" TargetMode="External"/><Relationship Id="rId427" Type="http://schemas.openxmlformats.org/officeDocument/2006/relationships/hyperlink" Target="https://www.mdretraite.com/" TargetMode="External"/><Relationship Id="rId669" Type="http://schemas.openxmlformats.org/officeDocument/2006/relationships/hyperlink" Target="https://www.ebp.com/logiciel-comptabilite/comptabilite-pro" TargetMode="External"/><Relationship Id="rId660" Type="http://schemas.openxmlformats.org/officeDocument/2006/relationships/hyperlink" Target="https://www.cabinet-icard.com/nos-missions/creation-d-entreprise" TargetMode="External"/><Relationship Id="rId422" Type="http://schemas.openxmlformats.org/officeDocument/2006/relationships/hyperlink" Target="https://www.fiche-de-paie.fr/externalisation-paie-comparer-les-solutions/" TargetMode="External"/><Relationship Id="rId664" Type="http://schemas.openxmlformats.org/officeDocument/2006/relationships/hyperlink" Target="https://foxeet.fr/contenu/comparatif-candidats-pdp-facture-electronique-2024" TargetMode="External"/><Relationship Id="rId421" Type="http://schemas.openxmlformats.org/officeDocument/2006/relationships/hyperlink" Target="https://www.fiche-de-paie.fr/externalisation-de-la-paie-tour-dhorizon/" TargetMode="External"/><Relationship Id="rId663" Type="http://schemas.openxmlformats.org/officeDocument/2006/relationships/hyperlink" Target="https://presse.economie.gouv.fr/?p=168695" TargetMode="External"/><Relationship Id="rId420" Type="http://schemas.openxmlformats.org/officeDocument/2006/relationships/hyperlink" Target="https://fortify.fr/logiciel-de-paie/vous-souhaitez-externaliser-la-paie-voici-5-avantages/" TargetMode="External"/><Relationship Id="rId662" Type="http://schemas.openxmlformats.org/officeDocument/2006/relationships/hyperlink" Target="https://www.mc2-expertise.com/" TargetMode="External"/><Relationship Id="rId661" Type="http://schemas.openxmlformats.org/officeDocument/2006/relationships/hyperlink" Target="https://www.expert-comptable-saudec.fr/" TargetMode="External"/><Relationship Id="rId415" Type="http://schemas.openxmlformats.org/officeDocument/2006/relationships/hyperlink" Target="https://facture-electronique-obligatoire.fr/guide-complet-facturation-electronique-obligatoire/" TargetMode="External"/><Relationship Id="rId657" Type="http://schemas.openxmlformats.org/officeDocument/2006/relationships/hyperlink" Target="https://www.naviso.fr/actualites-blog/meilleur-logiciel-facturation-electronique/" TargetMode="External"/><Relationship Id="rId899" Type="http://schemas.openxmlformats.org/officeDocument/2006/relationships/hyperlink" Target="https://www.defiretraite.fr/contactez-nous/" TargetMode="External"/><Relationship Id="rId414" Type="http://schemas.openxmlformats.org/officeDocument/2006/relationships/hyperlink" Target="https://facture-electronique-obligatoire.fr/" TargetMode="External"/><Relationship Id="rId656" Type="http://schemas.openxmlformats.org/officeDocument/2006/relationships/hyperlink" Target="https://www.pom-solutions.fr/facture-electronique-guide-pour-tpe-pme/" TargetMode="External"/><Relationship Id="rId898" Type="http://schemas.openxmlformats.org/officeDocument/2006/relationships/hyperlink" Target="https://www.carsat-lr.fr/home/entreprise/accompagner-salaries-retraite.html" TargetMode="External"/><Relationship Id="rId413" Type="http://schemas.openxmlformats.org/officeDocument/2006/relationships/hyperlink" Target="https://fr.wikipedia.org/wiki/Compta_Clementine" TargetMode="External"/><Relationship Id="rId655" Type="http://schemas.openxmlformats.org/officeDocument/2006/relationships/hyperlink" Target="https://www.clicanoo.com/economie/facturation-electronique-obligatoire-en-2026-96-des-pme-a-la-traine-a-un-an-de-lecheance-7345.html" TargetMode="External"/><Relationship Id="rId897" Type="http://schemas.openxmlformats.org/officeDocument/2006/relationships/hyperlink" Target="https://www.carsat-am.fr/home/actifs/votre-retraite-etapes-cles/etre-accompagne-dans-sa-demande.html" TargetMode="External"/><Relationship Id="rId412" Type="http://schemas.openxmlformats.org/officeDocument/2006/relationships/hyperlink" Target="https://fr.wikipedia.org/wiki/Abby_%28Logiciel%29" TargetMode="External"/><Relationship Id="rId654" Type="http://schemas.openxmlformats.org/officeDocument/2006/relationships/hyperlink" Target="https://synkhor.fr/blog/facturation-electronique-2026-2027-guide-pme-dom-tom" TargetMode="External"/><Relationship Id="rId896" Type="http://schemas.openxmlformats.org/officeDocument/2006/relationships/hyperlink" Target="https://independant.io/logiciel-comptabilite-tpe/" TargetMode="External"/><Relationship Id="rId419" Type="http://schemas.openxmlformats.org/officeDocument/2006/relationships/hyperlink" Target="https://www.bizneo.com/blog/fr/extrenalisation-paie/" TargetMode="External"/><Relationship Id="rId418" Type="http://schemas.openxmlformats.org/officeDocument/2006/relationships/hyperlink" Target="https://www.impots.gouv.fr/actualite/facturation-electronique-liste-des-operateurs-candidats-pour-devenir-plateforme-de" TargetMode="External"/><Relationship Id="rId417" Type="http://schemas.openxmlformats.org/officeDocument/2006/relationships/hyperlink" Target="https://www.avalara.com/blog/en/europe/2024/11/france-updates-pdp-on-einvoicing-reform.html" TargetMode="External"/><Relationship Id="rId659" Type="http://schemas.openxmlformats.org/officeDocument/2006/relationships/hyperlink" Target="https://adopteunlogicielfrancais.fr/top-logiciels-compta-francais/" TargetMode="External"/><Relationship Id="rId416" Type="http://schemas.openxmlformats.org/officeDocument/2006/relationships/hyperlink" Target="https://facture-electronique-obligatoire.fr/integrations/logiciel-comptable/" TargetMode="External"/><Relationship Id="rId658" Type="http://schemas.openxmlformats.org/officeDocument/2006/relationships/hyperlink" Target="https://finom.co/fr-fr/blog/logiciel-comptabilite-pme/" TargetMode="External"/><Relationship Id="rId891" Type="http://schemas.openxmlformats.org/officeDocument/2006/relationships/hyperlink" Target="https://tradeshift.com/fr/resources/pdp-et-facturation-electronique/mandat-de-facturation-electronique-2026-en-france-ce-que-nous-avons-appris-lors-de-notre-webinaire-conformite/" TargetMode="External"/><Relationship Id="rId890" Type="http://schemas.openxmlformats.org/officeDocument/2006/relationships/hyperlink" Target="https://www.fiduciaire-yadan.fr/facturation-electronique-2026-2027-le-guide-dun-expert-comptable-a-paris-obligations-pdp-check-list/" TargetMode="External"/><Relationship Id="rId411" Type="http://schemas.openxmlformats.org/officeDocument/2006/relationships/hyperlink" Target="https://www.comparabanques.fr/comparatif-banque/en-ligne" TargetMode="External"/><Relationship Id="rId653" Type="http://schemas.openxmlformats.org/officeDocument/2006/relationships/hyperlink" Target="https://www.companeo.com/comptabilite-externalisee-expert-comptable/FAQ/definition-expert-comptable" TargetMode="External"/><Relationship Id="rId895" Type="http://schemas.openxmlformats.org/officeDocument/2006/relationships/hyperlink" Target="https://independant.io/comparateur/banque-pro/page/4/" TargetMode="External"/><Relationship Id="rId410" Type="http://schemas.openxmlformats.org/officeDocument/2006/relationships/hyperlink" Target="https://www.comparabanques.fr/compte-bancaire/changer-banque" TargetMode="External"/><Relationship Id="rId652" Type="http://schemas.openxmlformats.org/officeDocument/2006/relationships/hyperlink" Target="https://www.companeo.com/gestion-de-la-paie/guide/paie-externalisee-%3A-comment-choisir-son-prestataire" TargetMode="External"/><Relationship Id="rId894" Type="http://schemas.openxmlformats.org/officeDocument/2006/relationships/hyperlink" Target="https://independant.io/compte-pro-sarl/" TargetMode="External"/><Relationship Id="rId651" Type="http://schemas.openxmlformats.org/officeDocument/2006/relationships/hyperlink" Target="https://www.companeo.com/gestion-de-la-paie/guide/l-externalisation-totale-de-la-gestion-de-la-paie" TargetMode="External"/><Relationship Id="rId893" Type="http://schemas.openxmlformats.org/officeDocument/2006/relationships/hyperlink" Target="https://independant.io/expert-comptable-tpe-pme/" TargetMode="External"/><Relationship Id="rId650" Type="http://schemas.openxmlformats.org/officeDocument/2006/relationships/hyperlink" Target="https://www.companeo.com/comptabilite-externalisee-expert-comptable/FAQ/expert-comptable-gestion-paie" TargetMode="External"/><Relationship Id="rId892" Type="http://schemas.openxmlformats.org/officeDocument/2006/relationships/hyperlink" Target="https://independant.io/logiciel-facturation-tpe/" TargetMode="External"/><Relationship Id="rId206" Type="http://schemas.openxmlformats.org/officeDocument/2006/relationships/hyperlink" Target="https://www.tgs-france.fr/services/expert-comptable-en-ligne-tpe/" TargetMode="External"/><Relationship Id="rId448" Type="http://schemas.openxmlformats.org/officeDocument/2006/relationships/hyperlink" Target="https://www.cerfrance.fr/metiers/tpe-pme" TargetMode="External"/><Relationship Id="rId205" Type="http://schemas.openxmlformats.org/officeDocument/2006/relationships/hyperlink" Target="https://www.l-expert-comptable.com/tpe" TargetMode="External"/><Relationship Id="rId447" Type="http://schemas.openxmlformats.org/officeDocument/2006/relationships/hyperlink" Target="https://www.cristalis.com/tpe-pme/" TargetMode="External"/><Relationship Id="rId689" Type="http://schemas.openxmlformats.org/officeDocument/2006/relationships/hyperlink" Target="https://www.info-retraite.fr/portail-info/sites/PortailInformationnel/home/aide/contacts.html" TargetMode="External"/><Relationship Id="rId204" Type="http://schemas.openxmlformats.org/officeDocument/2006/relationships/hyperlink" Target="https://www.l-expert-comptable.com/a/52675-externaliser-sa-comptabilite.html" TargetMode="External"/><Relationship Id="rId446" Type="http://schemas.openxmlformats.org/officeDocument/2006/relationships/hyperlink" Target="https://devis-compta.fr/simulateurs/comparer-devis-experts-comptables" TargetMode="External"/><Relationship Id="rId688" Type="http://schemas.openxmlformats.org/officeDocument/2006/relationships/hyperlink" Target="https://analyse-retraite.fr/contact-retraite/contact.php" TargetMode="External"/><Relationship Id="rId203" Type="http://schemas.openxmlformats.org/officeDocument/2006/relationships/hyperlink" Target="https://www.gestion-patrimoine.finance/dirigeants/actualite/dirigeant-comment-preparer-votre-retraite/" TargetMode="External"/><Relationship Id="rId445" Type="http://schemas.openxmlformats.org/officeDocument/2006/relationships/hyperlink" Target="https://www.legalnest.fr/expert-comptable/statut/tpe" TargetMode="External"/><Relationship Id="rId687" Type="http://schemas.openxmlformats.org/officeDocument/2006/relationships/hyperlink" Target="https://analyse-retraite.fr/contact-retraite/notre-cabinet-conseil-retraite.php" TargetMode="External"/><Relationship Id="rId209" Type="http://schemas.openxmlformats.org/officeDocument/2006/relationships/hyperlink" Target="https://www.detective-banque.fr/quelle-est-la-banque-la-moins-chere/" TargetMode="External"/><Relationship Id="rId208" Type="http://schemas.openxmlformats.org/officeDocument/2006/relationships/hyperlink" Target="https://www.keobiz.fr/le-mag/prix-d-un-bilan-comptable/" TargetMode="External"/><Relationship Id="rId207" Type="http://schemas.openxmlformats.org/officeDocument/2006/relationships/hyperlink" Target="https://www.coover.fr/expert-comptable/statut/tpe" TargetMode="External"/><Relationship Id="rId449" Type="http://schemas.openxmlformats.org/officeDocument/2006/relationships/hyperlink" Target="https://b-numbers.fr/expert-comptable-tpe/" TargetMode="External"/><Relationship Id="rId440" Type="http://schemas.openxmlformats.org/officeDocument/2006/relationships/hyperlink" Target="https://neos-retraite.fr/" TargetMode="External"/><Relationship Id="rId682" Type="http://schemas.openxmlformats.org/officeDocument/2006/relationships/hyperlink" Target="https://agences.fiducial.fr/FIDUCIAL-Expertise-Angers" TargetMode="External"/><Relationship Id="rId681" Type="http://schemas.openxmlformats.org/officeDocument/2006/relationships/hyperlink" Target="https://www.cabinet-helion-conseil.fr/expert-comptable-cavaillon.html" TargetMode="External"/><Relationship Id="rId680" Type="http://schemas.openxmlformats.org/officeDocument/2006/relationships/hyperlink" Target="https://www.vaucluseo.fr/annuaire/ifac-sud-est" TargetMode="External"/><Relationship Id="rId202" Type="http://schemas.openxmlformats.org/officeDocument/2006/relationships/hyperlink" Target="https://www.aeterniapatrimoine.fr/je-suis-chef-dentreprise/preparer-sa-retraite-en-tant-que-dirigeant-les-etapes-cles/" TargetMode="External"/><Relationship Id="rId444" Type="http://schemas.openxmlformats.org/officeDocument/2006/relationships/hyperlink" Target="https://www.leguichetpro.com/comparateur-devis/expert-comptable/" TargetMode="External"/><Relationship Id="rId686" Type="http://schemas.openxmlformats.org/officeDocument/2006/relationships/hyperlink" Target="https://www.klesia.fr/du-constat-laction-la-strategie-retraite-de-fin-dannee-pour-le-dirigeant" TargetMode="External"/><Relationship Id="rId201" Type="http://schemas.openxmlformats.org/officeDocument/2006/relationships/hyperlink" Target="https://www.obat.fr/blog/logiciel-facturation-electronique-comparatif/" TargetMode="External"/><Relationship Id="rId443" Type="http://schemas.openxmlformats.org/officeDocument/2006/relationships/hyperlink" Target="https://www.expert-invest.fr/retraite/rachat-trimestres/" TargetMode="External"/><Relationship Id="rId685" Type="http://schemas.openxmlformats.org/officeDocument/2006/relationships/hyperlink" Target="https://www.cba-france.com/dirigeant-optimiser-votre-remuneration/" TargetMode="External"/><Relationship Id="rId200" Type="http://schemas.openxmlformats.org/officeDocument/2006/relationships/hyperlink" Target="https://www.obat.fr/blog/banque-pro-en-ligne-comparatif/" TargetMode="External"/><Relationship Id="rId442" Type="http://schemas.openxmlformats.org/officeDocument/2006/relationships/hyperlink" Target="https://pedagogie-retraite.fr/accompagnement.html" TargetMode="External"/><Relationship Id="rId684" Type="http://schemas.openxmlformats.org/officeDocument/2006/relationships/hyperlink" Target="https://chaire-dami.fr/strategies-avancees-pour-maximiser-les-revenus-des-dirigeants-de-sasu" TargetMode="External"/><Relationship Id="rId441" Type="http://schemas.openxmlformats.org/officeDocument/2006/relationships/hyperlink" Target="https://www.astuceretraite.fr/" TargetMode="External"/><Relationship Id="rId683" Type="http://schemas.openxmlformats.org/officeDocument/2006/relationships/hyperlink" Target="https://agences.fiducial.fr/FIDUCIAL-Expertise-Cavaillon" TargetMode="External"/><Relationship Id="rId437" Type="http://schemas.openxmlformats.org/officeDocument/2006/relationships/hyperlink" Target="https://www.spendesk.com/fr/blog/top-logiciel-comptabilite/" TargetMode="External"/><Relationship Id="rId679" Type="http://schemas.openxmlformats.org/officeDocument/2006/relationships/hyperlink" Target="https://www.compteo.fr/expert-comptable/cabinetflppartneraudit-21323" TargetMode="External"/><Relationship Id="rId436" Type="http://schemas.openxmlformats.org/officeDocument/2006/relationships/hyperlink" Target="https://entreprise.mma.fr/connexionpro/facture-electronique-expert-comptable.html" TargetMode="External"/><Relationship Id="rId678" Type="http://schemas.openxmlformats.org/officeDocument/2006/relationships/hyperlink" Target="https://www.compteo.fr/expert-comptable/societerhodaniennedexpertise-10180" TargetMode="External"/><Relationship Id="rId435" Type="http://schemas.openxmlformats.org/officeDocument/2006/relationships/hyperlink" Target="https://hayot-expertise.fr/services/accompagnement-facturation-electronique-2026" TargetMode="External"/><Relationship Id="rId677" Type="http://schemas.openxmlformats.org/officeDocument/2006/relationships/hyperlink" Target="https://www.compteo.fr/expert-comptable/acpeexpertise-21316" TargetMode="External"/><Relationship Id="rId434" Type="http://schemas.openxmlformats.org/officeDocument/2006/relationships/hyperlink" Target="https://hayot-expertise.fr/blog/facturation-electronique-2026-guide-pme" TargetMode="External"/><Relationship Id="rId676" Type="http://schemas.openxmlformats.org/officeDocument/2006/relationships/hyperlink" Target="https://www.journal-economique.fr/entreprise/908564370-cap-expert-conseil---alpilles-luberon-cabinet-d%27expertise-comptable-brun-%26-michel" TargetMode="External"/><Relationship Id="rId439" Type="http://schemas.openxmlformats.org/officeDocument/2006/relationships/hyperlink" Target="https://nicephor-finance.fr/expertises/retraite/" TargetMode="External"/><Relationship Id="rId438" Type="http://schemas.openxmlformats.org/officeDocument/2006/relationships/hyperlink" Target="https://www.cohenexpertscomptables.fr/fr/un-gerant-majoritaire-peut-il-faire-racheter-ses-trimestres-de-retraite-par-sa-societe--" TargetMode="External"/><Relationship Id="rId671" Type="http://schemas.openxmlformats.org/officeDocument/2006/relationships/hyperlink" Target="https://www.ebp.com/reforme-facturation-electronique" TargetMode="External"/><Relationship Id="rId670" Type="http://schemas.openxmlformats.org/officeDocument/2006/relationships/hyperlink" Target="https://www.ebp.com/reforme-facturation-electronique" TargetMode="External"/><Relationship Id="rId433" Type="http://schemas.openxmlformats.org/officeDocument/2006/relationships/hyperlink" Target="https://www.factureelectronique.org/" TargetMode="External"/><Relationship Id="rId675" Type="http://schemas.openxmlformats.org/officeDocument/2006/relationships/hyperlink" Target="https://www.cabinet-aes.fr/expert-comptable%2Bcavaillon%2B84-z12" TargetMode="External"/><Relationship Id="rId432" Type="http://schemas.openxmlformats.org/officeDocument/2006/relationships/hyperlink" Target="https://www.jechange.fr/banques/compte-bancaire/changer" TargetMode="External"/><Relationship Id="rId674" Type="http://schemas.openxmlformats.org/officeDocument/2006/relationships/hyperlink" Target="https://www.telephone.city/expert-comptable/cabinet-charrasse-furnion-cavaillon-698164.html" TargetMode="External"/><Relationship Id="rId431" Type="http://schemas.openxmlformats.org/officeDocument/2006/relationships/hyperlink" Target="https://www.april.fr/assurance-pret/guide/changement-de-banque" TargetMode="External"/><Relationship Id="rId673" Type="http://schemas.openxmlformats.org/officeDocument/2006/relationships/hyperlink" Target="https://www.ultranova.fr/actualites/comment-choisir-son-erp/" TargetMode="External"/><Relationship Id="rId430" Type="http://schemas.openxmlformats.org/officeDocument/2006/relationships/hyperlink" Target="https://meilleurbanquepro.fr/" TargetMode="External"/><Relationship Id="rId672" Type="http://schemas.openxmlformats.org/officeDocument/2006/relationships/hyperlink" Target="https://www.treso2.com/actualites/interoperabilite-des-pdp-comprendre-les-enjeux-techniques-et-reglementair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bourseinside.fr" TargetMode="External"/><Relationship Id="rId2" Type="http://schemas.openxmlformats.org/officeDocument/2006/relationships/hyperlink" Target="http://businessornot.fr" TargetMode="External"/><Relationship Id="rId3" Type="http://schemas.openxmlformats.org/officeDocument/2006/relationships/hyperlink" Target="http://charlestech.fr" TargetMode="External"/><Relationship Id="rId4" Type="http://schemas.openxmlformats.org/officeDocument/2006/relationships/hyperlink" Target="http://digitiz.fr" TargetMode="External"/><Relationship Id="rId9" Type="http://schemas.openxmlformats.org/officeDocument/2006/relationships/hyperlink" Target="http://infos-byz.com" TargetMode="External"/><Relationship Id="rId5" Type="http://schemas.openxmlformats.org/officeDocument/2006/relationships/hyperlink" Target="http://expertbanque.fr" TargetMode="External"/><Relationship Id="rId6" Type="http://schemas.openxmlformats.org/officeDocument/2006/relationships/hyperlink" Target="http://finance-heros.fr" TargetMode="External"/><Relationship Id="rId7" Type="http://schemas.openxmlformats.org/officeDocument/2006/relationships/hyperlink" Target="http://hdfever.fr" TargetMode="External"/><Relationship Id="rId8" Type="http://schemas.openxmlformats.org/officeDocument/2006/relationships/hyperlink" Target="http://infonet.fr" TargetMode="External"/><Relationship Id="rId40" Type="http://schemas.openxmlformats.org/officeDocument/2006/relationships/hyperlink" Target="http://cyfernet.org" TargetMode="External"/><Relationship Id="rId42" Type="http://schemas.openxmlformats.org/officeDocument/2006/relationships/hyperlink" Target="http://europages.fr" TargetMode="External"/><Relationship Id="rId41" Type="http://schemas.openxmlformats.org/officeDocument/2006/relationships/hyperlink" Target="http://decision-achats.fr" TargetMode="External"/><Relationship Id="rId44" Type="http://schemas.openxmlformats.org/officeDocument/2006/relationships/hyperlink" Target="http://francetransactions.com" TargetMode="External"/><Relationship Id="rId43" Type="http://schemas.openxmlformats.org/officeDocument/2006/relationships/hyperlink" Target="http://externalisation-comptabilite.com" TargetMode="External"/><Relationship Id="rId46" Type="http://schemas.openxmlformats.org/officeDocument/2006/relationships/hyperlink" Target="http://guidedelabanque.fr" TargetMode="External"/><Relationship Id="rId45" Type="http://schemas.openxmlformats.org/officeDocument/2006/relationships/hyperlink" Target="http://francetransactions.com" TargetMode="External"/><Relationship Id="rId48" Type="http://schemas.openxmlformats.org/officeDocument/2006/relationships/hyperlink" Target="http://ideal-investisseur.fr" TargetMode="External"/><Relationship Id="rId47" Type="http://schemas.openxmlformats.org/officeDocument/2006/relationships/hyperlink" Target="http://habitatpresto.com" TargetMode="External"/><Relationship Id="rId49" Type="http://schemas.openxmlformats.org/officeDocument/2006/relationships/hyperlink" Target="http://lafabriquedunet.fr" TargetMode="External"/><Relationship Id="rId31" Type="http://schemas.openxmlformats.org/officeDocument/2006/relationships/hyperlink" Target="http://c2ic.net" TargetMode="External"/><Relationship Id="rId30" Type="http://schemas.openxmlformats.org/officeDocument/2006/relationships/hyperlink" Target="http://bfmtv.com" TargetMode="External"/><Relationship Id="rId33" Type="http://schemas.openxmlformats.org/officeDocument/2006/relationships/hyperlink" Target="http://codeas.net" TargetMode="External"/><Relationship Id="rId32" Type="http://schemas.openxmlformats.org/officeDocument/2006/relationships/hyperlink" Target="http://cesdefrance.fr" TargetMode="External"/><Relationship Id="rId35" Type="http://schemas.openxmlformats.org/officeDocument/2006/relationships/hyperlink" Target="http://compta-online.com" TargetMode="External"/><Relationship Id="rId34" Type="http://schemas.openxmlformats.org/officeDocument/2006/relationships/hyperlink" Target="http://compta-facile.com" TargetMode="External"/><Relationship Id="rId37" Type="http://schemas.openxmlformats.org/officeDocument/2006/relationships/hyperlink" Target="http://compte-pro.com" TargetMode="External"/><Relationship Id="rId36" Type="http://schemas.openxmlformats.org/officeDocument/2006/relationships/hyperlink" Target="http://comptareal.fr" TargetMode="External"/><Relationship Id="rId39" Type="http://schemas.openxmlformats.org/officeDocument/2006/relationships/hyperlink" Target="http://crowdlending.fr" TargetMode="External"/><Relationship Id="rId38" Type="http://schemas.openxmlformats.org/officeDocument/2006/relationships/hyperlink" Target="http://connectbanque.com" TargetMode="External"/><Relationship Id="rId20" Type="http://schemas.openxmlformats.org/officeDocument/2006/relationships/hyperlink" Target="http://perspectives-conseils.com" TargetMode="External"/><Relationship Id="rId22" Type="http://schemas.openxmlformats.org/officeDocument/2006/relationships/hyperlink" Target="http://pharrell.fr" TargetMode="External"/><Relationship Id="rId21" Type="http://schemas.openxmlformats.org/officeDocument/2006/relationships/hyperlink" Target="http://perspectives-retraite.com" TargetMode="External"/><Relationship Id="rId24" Type="http://schemas.openxmlformats.org/officeDocument/2006/relationships/hyperlink" Target="http://reussir-dscg.com" TargetMode="External"/><Relationship Id="rId23" Type="http://schemas.openxmlformats.org/officeDocument/2006/relationships/hyperlink" Target="http://plateya.fr" TargetMode="External"/><Relationship Id="rId26" Type="http://schemas.openxmlformats.org/officeDocument/2006/relationships/hyperlink" Target="http://1comptabilite.fr" TargetMode="External"/><Relationship Id="rId25" Type="http://schemas.openxmlformats.org/officeDocument/2006/relationships/hyperlink" Target="http://tool-advisor.fr" TargetMode="External"/><Relationship Id="rId28" Type="http://schemas.openxmlformats.org/officeDocument/2006/relationships/hyperlink" Target="http://baticopro.com" TargetMode="External"/><Relationship Id="rId27" Type="http://schemas.openxmlformats.org/officeDocument/2006/relationships/hyperlink" Target="http://appvizer.fr" TargetMode="External"/><Relationship Id="rId29" Type="http://schemas.openxmlformats.org/officeDocument/2006/relationships/hyperlink" Target="http://beaboss.fr" TargetMode="External"/><Relationship Id="rId11" Type="http://schemas.openxmlformats.org/officeDocument/2006/relationships/hyperlink" Target="http://leparisien.fr" TargetMode="External"/><Relationship Id="rId10" Type="http://schemas.openxmlformats.org/officeDocument/2006/relationships/hyperlink" Target="http://itsocial.fr" TargetMode="External"/><Relationship Id="rId13" Type="http://schemas.openxmlformats.org/officeDocument/2006/relationships/hyperlink" Target="http://lepoint.fr" TargetMode="External"/><Relationship Id="rId12" Type="http://schemas.openxmlformats.org/officeDocument/2006/relationships/hyperlink" Target="http://leparticulier.lefigaro.fr" TargetMode="External"/><Relationship Id="rId15" Type="http://schemas.openxmlformats.org/officeDocument/2006/relationships/hyperlink" Target="http://logicielfrance.com" TargetMode="External"/><Relationship Id="rId14" Type="http://schemas.openxmlformats.org/officeDocument/2006/relationships/hyperlink" Target="http://lessentieldeleco.fr" TargetMode="External"/><Relationship Id="rId17" Type="http://schemas.openxmlformats.org/officeDocument/2006/relationships/hyperlink" Target="http://mondetech.fr" TargetMode="External"/><Relationship Id="rId16" Type="http://schemas.openxmlformats.org/officeDocument/2006/relationships/hyperlink" Target="http://meilleurcomptable.fr" TargetMode="External"/><Relationship Id="rId19" Type="http://schemas.openxmlformats.org/officeDocument/2006/relationships/hyperlink" Target="http://nos-comparateurs.fr" TargetMode="External"/><Relationship Id="rId18" Type="http://schemas.openxmlformats.org/officeDocument/2006/relationships/hyperlink" Target="http://moneyvox.fr" TargetMode="External"/><Relationship Id="rId62" Type="http://schemas.openxmlformats.org/officeDocument/2006/relationships/hyperlink" Target="http://techno-finance.fr" TargetMode="External"/><Relationship Id="rId61" Type="http://schemas.openxmlformats.org/officeDocument/2006/relationships/hyperlink" Target="http://revistaperil.com" TargetMode="External"/><Relationship Id="rId64" Type="http://schemas.openxmlformats.org/officeDocument/2006/relationships/hyperlink" Target="http://village-justice.com" TargetMode="External"/><Relationship Id="rId63" Type="http://schemas.openxmlformats.org/officeDocument/2006/relationships/hyperlink" Target="http://uris-rhone-alpes.org" TargetMode="External"/><Relationship Id="rId65" Type="http://schemas.openxmlformats.org/officeDocument/2006/relationships/drawing" Target="../drawings/drawing2.xml"/><Relationship Id="rId60" Type="http://schemas.openxmlformats.org/officeDocument/2006/relationships/hyperlink" Target="http://reddit.com" TargetMode="External"/><Relationship Id="rId51" Type="http://schemas.openxmlformats.org/officeDocument/2006/relationships/hyperlink" Target="http://lemonde.fr" TargetMode="External"/><Relationship Id="rId50" Type="http://schemas.openxmlformats.org/officeDocument/2006/relationships/hyperlink" Target="http://lejournaldelafinance.com" TargetMode="External"/><Relationship Id="rId53" Type="http://schemas.openxmlformats.org/officeDocument/2006/relationships/hyperlink" Target="http://maddyness.com" TargetMode="External"/><Relationship Id="rId52" Type="http://schemas.openxmlformats.org/officeDocument/2006/relationships/hyperlink" Target="http://leptidigital.fr" TargetMode="External"/><Relationship Id="rId55" Type="http://schemas.openxmlformats.org/officeDocument/2006/relationships/hyperlink" Target="http://panorabanques.com" TargetMode="External"/><Relationship Id="rId54" Type="http://schemas.openxmlformats.org/officeDocument/2006/relationships/hyperlink" Target="http://netpublic.fr" TargetMode="External"/><Relationship Id="rId57" Type="http://schemas.openxmlformats.org/officeDocument/2006/relationships/hyperlink" Target="http://pme-web.com" TargetMode="External"/><Relationship Id="rId56" Type="http://schemas.openxmlformats.org/officeDocument/2006/relationships/hyperlink" Target="http://pappers.fr" TargetMode="External"/><Relationship Id="rId59" Type="http://schemas.openxmlformats.org/officeDocument/2006/relationships/hyperlink" Target="http://presticer.fr" TargetMode="External"/><Relationship Id="rId58" Type="http://schemas.openxmlformats.org/officeDocument/2006/relationships/hyperlink" Target="http://presse-citron.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88"/>
    <col customWidth="1" min="2" max="2" width="36.13"/>
  </cols>
  <sheetData>
    <row r="1">
      <c r="A1" s="1" t="s">
        <v>0</v>
      </c>
      <c r="B1" s="2" t="s">
        <v>1</v>
      </c>
      <c r="C1" s="1" t="s">
        <v>2</v>
      </c>
      <c r="D1" s="1" t="s">
        <v>3</v>
      </c>
      <c r="E1" s="1" t="s">
        <v>4</v>
      </c>
      <c r="F1" s="1" t="s">
        <v>5</v>
      </c>
      <c r="G1" s="1" t="s">
        <v>6</v>
      </c>
    </row>
    <row r="2">
      <c r="A2" s="3" t="s">
        <v>7</v>
      </c>
      <c r="B2" s="4" t="str">
        <f>IFERROR(__xludf.DUMMYFUNCTION("REGEXREPLACE(A2, ""^https?://(www\.)?|/.*"", """")"),"comptareal.fr")</f>
        <v>comptareal.fr</v>
      </c>
      <c r="C2" s="1" t="s">
        <v>8</v>
      </c>
      <c r="D2" s="1">
        <v>2.0</v>
      </c>
      <c r="E2" s="1" t="s">
        <v>9</v>
      </c>
      <c r="F2" s="1" t="s">
        <v>10</v>
      </c>
      <c r="G2" s="5">
        <f t="array" ref="G2">XLOOKUP(B2,LFinder!A:A,LFinder!B:B,"absent des plateformes")</f>
        <v>16</v>
      </c>
    </row>
    <row r="3">
      <c r="A3" s="3" t="s">
        <v>11</v>
      </c>
      <c r="B3" s="4" t="str">
        <f>IFERROR(__xludf.DUMMYFUNCTION("REGEXREPLACE(A3, ""^https?://(www\.)?|/.*"", """")"),"logicielfrance.com")</f>
        <v>logicielfrance.com</v>
      </c>
      <c r="C3" s="1" t="s">
        <v>8</v>
      </c>
      <c r="D3" s="1">
        <v>1.0</v>
      </c>
      <c r="E3" s="1" t="s">
        <v>12</v>
      </c>
      <c r="F3" s="1" t="s">
        <v>10</v>
      </c>
      <c r="G3" s="5">
        <f t="array" ref="G3">XLOOKUP(B3,LFinder!A:A,LFinder!B:B,"absent des plateformes")</f>
        <v>21</v>
      </c>
    </row>
    <row r="4">
      <c r="A4" s="3" t="s">
        <v>13</v>
      </c>
      <c r="B4" s="4" t="str">
        <f>IFERROR(__xludf.DUMMYFUNCTION("REGEXREPLACE(A4, ""^https?://(www\.)?|/.*"", """")"),"revistaperil.com")</f>
        <v>revistaperil.com</v>
      </c>
      <c r="C4" s="1" t="s">
        <v>8</v>
      </c>
      <c r="D4" s="1">
        <v>1.0</v>
      </c>
      <c r="E4" s="1" t="s">
        <v>14</v>
      </c>
      <c r="F4" s="1" t="s">
        <v>10</v>
      </c>
      <c r="G4" s="5">
        <f t="array" ref="G4">XLOOKUP(B4,LFinder!A:A,LFinder!B:B,"absent des plateformes")</f>
        <v>22</v>
      </c>
    </row>
    <row r="5">
      <c r="A5" s="3" t="s">
        <v>15</v>
      </c>
      <c r="B5" s="4" t="str">
        <f>IFERROR(__xludf.DUMMYFUNCTION("REGEXREPLACE(A5, ""^https?://(www\.)?|/.*"", """")"),"businessornot.fr")</f>
        <v>businessornot.fr</v>
      </c>
      <c r="C5" s="1" t="s">
        <v>8</v>
      </c>
      <c r="D5" s="1">
        <v>1.0</v>
      </c>
      <c r="E5" s="1" t="s">
        <v>16</v>
      </c>
      <c r="F5" s="1" t="s">
        <v>10</v>
      </c>
      <c r="G5" s="5">
        <f t="array" ref="G5">XLOOKUP(B5,LFinder!A:A,LFinder!B:B,"absent des plateformes")</f>
        <v>22</v>
      </c>
    </row>
    <row r="6">
      <c r="A6" s="3" t="s">
        <v>17</v>
      </c>
      <c r="B6" s="4" t="str">
        <f>IFERROR(__xludf.DUMMYFUNCTION("REGEXREPLACE(A6, ""^https?://(www\.)?|/.*"", """")"),"societe.tech")</f>
        <v>societe.tech</v>
      </c>
      <c r="C6" s="1" t="s">
        <v>8</v>
      </c>
      <c r="D6" s="1">
        <v>4.0</v>
      </c>
      <c r="E6" s="1" t="s">
        <v>18</v>
      </c>
      <c r="F6" s="1" t="s">
        <v>10</v>
      </c>
      <c r="G6" s="5">
        <f t="array" ref="G6">XLOOKUP(B6,LFinder!A:A,LFinder!B:B,"absent des plateformes")</f>
        <v>23</v>
      </c>
    </row>
    <row r="7">
      <c r="A7" s="3" t="s">
        <v>19</v>
      </c>
      <c r="B7" s="4" t="str">
        <f>IFERROR(__xludf.DUMMYFUNCTION("REGEXREPLACE(A7, ""^https?://(www\.)?|/.*"", """")"),"externalisation-comptabilite.com")</f>
        <v>externalisation-comptabilite.com</v>
      </c>
      <c r="C7" s="1" t="s">
        <v>8</v>
      </c>
      <c r="D7" s="1">
        <v>1.0</v>
      </c>
      <c r="E7" s="1" t="s">
        <v>20</v>
      </c>
      <c r="F7" s="1" t="s">
        <v>10</v>
      </c>
      <c r="G7" s="5">
        <f t="array" ref="G7">XLOOKUP(B7,LFinder!A:A,LFinder!B:B,"absent des plateformes")</f>
        <v>28</v>
      </c>
    </row>
    <row r="8">
      <c r="A8" s="3" t="s">
        <v>21</v>
      </c>
      <c r="B8" s="4" t="str">
        <f>IFERROR(__xludf.DUMMYFUNCTION("REGEXREPLACE(A8, ""^https?://(www\.)?|/.*"", """")"),"reddit.com")</f>
        <v>reddit.com</v>
      </c>
      <c r="C8" s="1" t="s">
        <v>8</v>
      </c>
      <c r="D8" s="1">
        <v>6.0</v>
      </c>
      <c r="E8" s="1" t="s">
        <v>22</v>
      </c>
      <c r="F8" s="1" t="s">
        <v>10</v>
      </c>
      <c r="G8" s="5">
        <f t="array" ref="G8">XLOOKUP(B8,LFinder!A:A,LFinder!B:B,"absent des plateformes")</f>
        <v>29</v>
      </c>
    </row>
    <row r="9">
      <c r="A9" s="3" t="s">
        <v>23</v>
      </c>
      <c r="B9" s="4" t="str">
        <f>IFERROR(__xludf.DUMMYFUNCTION("REGEXREPLACE(A9, ""^https?://(www\.)?|/.*"", """")"),"reddit.com")</f>
        <v>reddit.com</v>
      </c>
      <c r="C9" s="1" t="s">
        <v>8</v>
      </c>
      <c r="D9" s="1">
        <v>5.0</v>
      </c>
      <c r="E9" s="1" t="s">
        <v>12</v>
      </c>
      <c r="F9" s="1" t="s">
        <v>10</v>
      </c>
      <c r="G9" s="5">
        <f t="array" ref="G9">XLOOKUP(B9,LFinder!A:A,LFinder!B:B,"absent des plateformes")</f>
        <v>29</v>
      </c>
    </row>
    <row r="10">
      <c r="A10" s="3" t="s">
        <v>24</v>
      </c>
      <c r="B10" s="4" t="str">
        <f>IFERROR(__xludf.DUMMYFUNCTION("REGEXREPLACE(A10, ""^https?://(www\.)?|/.*"", """")"),"reddit.com")</f>
        <v>reddit.com</v>
      </c>
      <c r="C10" s="1" t="s">
        <v>8</v>
      </c>
      <c r="D10" s="1">
        <v>5.0</v>
      </c>
      <c r="E10" s="1" t="s">
        <v>25</v>
      </c>
      <c r="F10" s="1" t="s">
        <v>10</v>
      </c>
      <c r="G10" s="5">
        <f t="array" ref="G10">XLOOKUP(B10,LFinder!A:A,LFinder!B:B,"absent des plateformes")</f>
        <v>29</v>
      </c>
    </row>
    <row r="11">
      <c r="A11" s="3" t="s">
        <v>26</v>
      </c>
      <c r="B11" s="4" t="str">
        <f>IFERROR(__xludf.DUMMYFUNCTION("REGEXREPLACE(A11, ""^https?://(www\.)?|/.*"", """")"),"reddit.com")</f>
        <v>reddit.com</v>
      </c>
      <c r="C11" s="1" t="s">
        <v>8</v>
      </c>
      <c r="D11" s="1">
        <v>4.0</v>
      </c>
      <c r="E11" s="1" t="s">
        <v>27</v>
      </c>
      <c r="F11" s="1" t="s">
        <v>10</v>
      </c>
      <c r="G11" s="5">
        <f t="array" ref="G11">XLOOKUP(B11,LFinder!A:A,LFinder!B:B,"absent des plateformes")</f>
        <v>29</v>
      </c>
    </row>
    <row r="12">
      <c r="A12" s="3" t="s">
        <v>28</v>
      </c>
      <c r="B12" s="4" t="str">
        <f>IFERROR(__xludf.DUMMYFUNCTION("REGEXREPLACE(A12, ""^https?://(www\.)?|/.*"", """")"),"reddit.com")</f>
        <v>reddit.com</v>
      </c>
      <c r="C12" s="1" t="s">
        <v>8</v>
      </c>
      <c r="D12" s="1">
        <v>2.0</v>
      </c>
      <c r="E12" s="1" t="s">
        <v>29</v>
      </c>
      <c r="F12" s="1" t="s">
        <v>10</v>
      </c>
      <c r="G12" s="5">
        <f t="array" ref="G12">XLOOKUP(B12,LFinder!A:A,LFinder!B:B,"absent des plateformes")</f>
        <v>29</v>
      </c>
    </row>
    <row r="13">
      <c r="A13" s="3" t="s">
        <v>30</v>
      </c>
      <c r="B13" s="4" t="str">
        <f>IFERROR(__xludf.DUMMYFUNCTION("REGEXREPLACE(A13, ""^https?://(www\.)?|/.*"", """")"),"reddit.com")</f>
        <v>reddit.com</v>
      </c>
      <c r="C13" s="1" t="s">
        <v>8</v>
      </c>
      <c r="D13" s="1">
        <v>1.0</v>
      </c>
      <c r="E13" s="1" t="s">
        <v>31</v>
      </c>
      <c r="F13" s="1" t="s">
        <v>10</v>
      </c>
      <c r="G13" s="5">
        <f t="array" ref="G13">XLOOKUP(B13,LFinder!A:A,LFinder!B:B,"absent des plateformes")</f>
        <v>29</v>
      </c>
    </row>
    <row r="14">
      <c r="A14" s="3" t="s">
        <v>32</v>
      </c>
      <c r="B14" s="4" t="str">
        <f>IFERROR(__xludf.DUMMYFUNCTION("REGEXREPLACE(A14, ""^https?://(www\.)?|/.*"", """")"),"reddit.com")</f>
        <v>reddit.com</v>
      </c>
      <c r="C14" s="1" t="s">
        <v>8</v>
      </c>
      <c r="D14" s="1">
        <v>1.0</v>
      </c>
      <c r="E14" s="1" t="s">
        <v>33</v>
      </c>
      <c r="F14" s="1" t="s">
        <v>10</v>
      </c>
      <c r="G14" s="5">
        <f t="array" ref="G14">XLOOKUP(B14,LFinder!A:A,LFinder!B:B,"absent des plateformes")</f>
        <v>29</v>
      </c>
    </row>
    <row r="15">
      <c r="A15" s="3" t="s">
        <v>34</v>
      </c>
      <c r="B15" s="4" t="str">
        <f>IFERROR(__xludf.DUMMYFUNCTION("REGEXREPLACE(A15, ""^https?://(www\.)?|/.*"", """")"),"reddit.com")</f>
        <v>reddit.com</v>
      </c>
      <c r="C15" s="1" t="s">
        <v>8</v>
      </c>
      <c r="D15" s="1">
        <v>1.0</v>
      </c>
      <c r="E15" s="1" t="s">
        <v>12</v>
      </c>
      <c r="F15" s="1" t="s">
        <v>10</v>
      </c>
      <c r="G15" s="5">
        <f t="array" ref="G15">XLOOKUP(B15,LFinder!A:A,LFinder!B:B,"absent des plateformes")</f>
        <v>29</v>
      </c>
    </row>
    <row r="16">
      <c r="A16" s="3" t="s">
        <v>35</v>
      </c>
      <c r="B16" s="4" t="str">
        <f>IFERROR(__xludf.DUMMYFUNCTION("REGEXREPLACE(A16, ""^https?://(www\.)?|/.*"", """")"),"reddit.com")</f>
        <v>reddit.com</v>
      </c>
      <c r="C16" s="1" t="s">
        <v>8</v>
      </c>
      <c r="D16" s="1">
        <v>1.0</v>
      </c>
      <c r="E16" s="1" t="s">
        <v>36</v>
      </c>
      <c r="F16" s="1" t="s">
        <v>10</v>
      </c>
      <c r="G16" s="5">
        <f t="array" ref="G16">XLOOKUP(B16,LFinder!A:A,LFinder!B:B,"absent des plateformes")</f>
        <v>29</v>
      </c>
    </row>
    <row r="17">
      <c r="A17" s="3" t="s">
        <v>37</v>
      </c>
      <c r="B17" s="4" t="str">
        <f>IFERROR(__xludf.DUMMYFUNCTION("REGEXREPLACE(A17, ""^https?://(www\.)?|/.*"", """")"),"reddit.com")</f>
        <v>reddit.com</v>
      </c>
      <c r="C17" s="1" t="s">
        <v>8</v>
      </c>
      <c r="D17" s="1">
        <v>1.0</v>
      </c>
      <c r="E17" s="1" t="s">
        <v>38</v>
      </c>
      <c r="F17" s="1" t="s">
        <v>10</v>
      </c>
      <c r="G17" s="5">
        <f t="array" ref="G17">XLOOKUP(B17,LFinder!A:A,LFinder!B:B,"absent des plateformes")</f>
        <v>29</v>
      </c>
    </row>
    <row r="18">
      <c r="A18" s="3" t="s">
        <v>39</v>
      </c>
      <c r="B18" s="4" t="str">
        <f>IFERROR(__xludf.DUMMYFUNCTION("REGEXREPLACE(A18, ""^https?://(www\.)?|/.*"", """")"),"reddit.com")</f>
        <v>reddit.com</v>
      </c>
      <c r="C18" s="1" t="s">
        <v>8</v>
      </c>
      <c r="D18" s="1">
        <v>1.0</v>
      </c>
      <c r="E18" s="1" t="s">
        <v>33</v>
      </c>
      <c r="F18" s="1" t="s">
        <v>10</v>
      </c>
      <c r="G18" s="5">
        <f t="array" ref="G18">XLOOKUP(B18,LFinder!A:A,LFinder!B:B,"absent des plateformes")</f>
        <v>29</v>
      </c>
    </row>
    <row r="19">
      <c r="A19" s="3" t="s">
        <v>40</v>
      </c>
      <c r="B19" s="4" t="str">
        <f>IFERROR(__xludf.DUMMYFUNCTION("REGEXREPLACE(A19, ""^https?://(www\.)?|/.*"", """")"),"c2ic.net")</f>
        <v>c2ic.net</v>
      </c>
      <c r="C19" s="1" t="s">
        <v>8</v>
      </c>
      <c r="D19" s="1">
        <v>1.0</v>
      </c>
      <c r="E19" s="1" t="s">
        <v>12</v>
      </c>
      <c r="F19" s="1" t="s">
        <v>10</v>
      </c>
      <c r="G19" s="5">
        <f t="array" ref="G19">XLOOKUP(B19,LFinder!A:A,LFinder!B:B,"absent des plateformes")</f>
        <v>30</v>
      </c>
    </row>
    <row r="20">
      <c r="A20" s="3" t="s">
        <v>41</v>
      </c>
      <c r="B20" s="4" t="str">
        <f>IFERROR(__xludf.DUMMYFUNCTION("REGEXREPLACE(A20, ""^https?://(www\.)?|/.*"", """")"),"codeas.net")</f>
        <v>codeas.net</v>
      </c>
      <c r="C20" s="1" t="s">
        <v>8</v>
      </c>
      <c r="D20" s="1">
        <v>1.0</v>
      </c>
      <c r="E20" s="1" t="s">
        <v>12</v>
      </c>
      <c r="F20" s="1" t="s">
        <v>10</v>
      </c>
      <c r="G20" s="5">
        <f t="array" ref="G20">XLOOKUP(B20,LFinder!A:A,LFinder!B:B,"absent des plateformes")</f>
        <v>30</v>
      </c>
    </row>
    <row r="21">
      <c r="A21" s="3" t="s">
        <v>42</v>
      </c>
      <c r="B21" s="4" t="str">
        <f>IFERROR(__xludf.DUMMYFUNCTION("REGEXREPLACE(A21, ""^https?://(www\.)?|/.*"", """")"),"reussir-dscg.com")</f>
        <v>reussir-dscg.com</v>
      </c>
      <c r="C21" s="1" t="s">
        <v>8</v>
      </c>
      <c r="D21" s="1">
        <v>1.0</v>
      </c>
      <c r="E21" s="1" t="s">
        <v>43</v>
      </c>
      <c r="F21" s="1" t="s">
        <v>10</v>
      </c>
      <c r="G21" s="5">
        <f t="array" ref="G21">XLOOKUP(B21,LFinder!A:A,LFinder!B:B,"absent des plateformes")</f>
        <v>30</v>
      </c>
    </row>
    <row r="22">
      <c r="A22" s="3" t="s">
        <v>44</v>
      </c>
      <c r="B22" s="4" t="str">
        <f>IFERROR(__xludf.DUMMYFUNCTION("REGEXREPLACE(A22, ""^https?://(www\.)?|/.*"", """")"),"presticer.fr")</f>
        <v>presticer.fr</v>
      </c>
      <c r="C22" s="1" t="s">
        <v>8</v>
      </c>
      <c r="D22" s="1">
        <v>1.0</v>
      </c>
      <c r="E22" s="1" t="s">
        <v>45</v>
      </c>
      <c r="F22" s="1" t="s">
        <v>10</v>
      </c>
      <c r="G22" s="5">
        <f t="array" ref="G22">XLOOKUP(B22,LFinder!A:A,LFinder!B:B,"absent des plateformes")</f>
        <v>32</v>
      </c>
    </row>
    <row r="23">
      <c r="A23" s="3" t="s">
        <v>46</v>
      </c>
      <c r="B23" s="4" t="str">
        <f>IFERROR(__xludf.DUMMYFUNCTION("REGEXREPLACE(A23, ""^https?://(www\.)?|/.*"", """")"),"techno-finance.fr")</f>
        <v>techno-finance.fr</v>
      </c>
      <c r="C23" s="1" t="s">
        <v>8</v>
      </c>
      <c r="D23" s="1">
        <v>1.0</v>
      </c>
      <c r="E23" s="1" t="s">
        <v>47</v>
      </c>
      <c r="F23" s="1" t="s">
        <v>10</v>
      </c>
      <c r="G23" s="5">
        <f t="array" ref="G23">XLOOKUP(B23,LFinder!A:A,LFinder!B:B,"absent des plateformes")</f>
        <v>36</v>
      </c>
    </row>
    <row r="24">
      <c r="A24" s="3" t="s">
        <v>48</v>
      </c>
      <c r="B24" s="4" t="str">
        <f>IFERROR(__xludf.DUMMYFUNCTION("REGEXREPLACE(A24, ""^https?://(www\.)?|/.*"", """")"),"expertbanque.fr")</f>
        <v>expertbanque.fr</v>
      </c>
      <c r="C24" s="1" t="s">
        <v>8</v>
      </c>
      <c r="D24" s="1">
        <v>3.0</v>
      </c>
      <c r="E24" s="1" t="s">
        <v>14</v>
      </c>
      <c r="F24" s="1" t="s">
        <v>10</v>
      </c>
      <c r="G24" s="5">
        <f t="array" ref="G24">XLOOKUP(B24,LFinder!A:A,LFinder!B:B,"absent des plateformes")</f>
        <v>39</v>
      </c>
    </row>
    <row r="25">
      <c r="A25" s="3" t="s">
        <v>49</v>
      </c>
      <c r="B25" s="4" t="str">
        <f>IFERROR(__xludf.DUMMYFUNCTION("REGEXREPLACE(A25, ""^https?://(www\.)?|/.*"", """")"),"uris-rhone-alpes.org")</f>
        <v>uris-rhone-alpes.org</v>
      </c>
      <c r="C25" s="1" t="s">
        <v>50</v>
      </c>
      <c r="D25" s="1">
        <v>1.0</v>
      </c>
      <c r="E25" s="1" t="s">
        <v>51</v>
      </c>
      <c r="F25" s="1" t="s">
        <v>10</v>
      </c>
      <c r="G25" s="5">
        <f t="array" ref="G25">XLOOKUP(B25,LFinder!A:A,LFinder!B:B,"absent des plateformes")</f>
        <v>39</v>
      </c>
    </row>
    <row r="26">
      <c r="A26" s="3" t="s">
        <v>52</v>
      </c>
      <c r="B26" s="4" t="str">
        <f>IFERROR(__xludf.DUMMYFUNCTION("REGEXREPLACE(A26, ""^https?://(www\.)?|/.*"", """")"),"meilleurcomptable.fr")</f>
        <v>meilleurcomptable.fr</v>
      </c>
      <c r="C26" s="1" t="s">
        <v>8</v>
      </c>
      <c r="D26" s="1">
        <v>2.0</v>
      </c>
      <c r="E26" s="1" t="s">
        <v>53</v>
      </c>
      <c r="F26" s="1" t="s">
        <v>54</v>
      </c>
      <c r="G26" s="5">
        <f t="array" ref="G26">XLOOKUP(B26,LFinder!A:A,LFinder!B:B,"absent des plateformes")</f>
        <v>48</v>
      </c>
    </row>
    <row r="27">
      <c r="A27" s="3" t="s">
        <v>55</v>
      </c>
      <c r="B27" s="4" t="str">
        <f>IFERROR(__xludf.DUMMYFUNCTION("REGEXREPLACE(A27, ""^https?://(www\.)?|/.*"", """")"),"lejournaldelafinance.com")</f>
        <v>lejournaldelafinance.com</v>
      </c>
      <c r="C27" s="1" t="s">
        <v>8</v>
      </c>
      <c r="D27" s="1">
        <v>1.0</v>
      </c>
      <c r="E27" s="1" t="s">
        <v>56</v>
      </c>
      <c r="F27" s="1" t="s">
        <v>10</v>
      </c>
      <c r="G27" s="5">
        <f t="array" ref="G27">XLOOKUP(B27,LFinder!A:A,LFinder!B:B,"absent des plateformes")</f>
        <v>54</v>
      </c>
    </row>
    <row r="28">
      <c r="A28" s="3" t="s">
        <v>57</v>
      </c>
      <c r="B28" s="4" t="str">
        <f>IFERROR(__xludf.DUMMYFUNCTION("REGEXREPLACE(A28, ""^https?://(www\.)?|/.*"", """")"),"1comptabilite.fr")</f>
        <v>1comptabilite.fr</v>
      </c>
      <c r="C28" s="1" t="s">
        <v>8</v>
      </c>
      <c r="D28" s="1">
        <v>1.0</v>
      </c>
      <c r="E28" s="1" t="s">
        <v>38</v>
      </c>
      <c r="F28" s="1" t="s">
        <v>10</v>
      </c>
      <c r="G28" s="5">
        <f t="array" ref="G28">XLOOKUP(B28,LFinder!A:A,LFinder!B:B,"absent des plateformes")</f>
        <v>55</v>
      </c>
    </row>
    <row r="29">
      <c r="A29" s="3" t="s">
        <v>58</v>
      </c>
      <c r="B29" s="4" t="str">
        <f>IFERROR(__xludf.DUMMYFUNCTION("REGEXREPLACE(A29, ""^https?://(www\.)?|/.*"", """")"),"nos-comparateurs.fr")</f>
        <v>nos-comparateurs.fr</v>
      </c>
      <c r="C29" s="1" t="s">
        <v>8</v>
      </c>
      <c r="D29" s="1">
        <v>4.0</v>
      </c>
      <c r="E29" s="1" t="s">
        <v>59</v>
      </c>
      <c r="F29" s="1" t="s">
        <v>10</v>
      </c>
      <c r="G29" s="5">
        <f t="array" ref="G29">XLOOKUP(B29,LFinder!A:A,LFinder!B:B,"absent des plateformes")</f>
        <v>61</v>
      </c>
    </row>
    <row r="30">
      <c r="A30" s="3" t="s">
        <v>60</v>
      </c>
      <c r="B30" s="4" t="str">
        <f>IFERROR(__xludf.DUMMYFUNCTION("REGEXREPLACE(A30, ""^https?://(www\.)?|/.*"", """")"),"perspectives-conseils.com")</f>
        <v>perspectives-conseils.com</v>
      </c>
      <c r="C30" s="1" t="s">
        <v>8</v>
      </c>
      <c r="D30" s="1">
        <v>1.0</v>
      </c>
      <c r="E30" s="1" t="s">
        <v>61</v>
      </c>
      <c r="F30" s="1" t="s">
        <v>10</v>
      </c>
      <c r="G30" s="5">
        <f t="array" ref="G30">XLOOKUP(B30,LFinder!A:A,LFinder!B:B,"absent des plateformes")</f>
        <v>61</v>
      </c>
    </row>
    <row r="31">
      <c r="A31" s="3" t="s">
        <v>62</v>
      </c>
      <c r="B31" s="4" t="str">
        <f>IFERROR(__xludf.DUMMYFUNCTION("REGEXREPLACE(A31, ""^https?://(www\.)?|/.*"", """")"),"perspectives-conseils.com")</f>
        <v>perspectives-conseils.com</v>
      </c>
      <c r="C31" s="1" t="s">
        <v>8</v>
      </c>
      <c r="D31" s="1">
        <v>1.0</v>
      </c>
      <c r="E31" s="1" t="s">
        <v>63</v>
      </c>
      <c r="F31" s="1" t="s">
        <v>10</v>
      </c>
      <c r="G31" s="5">
        <f t="array" ref="G31">XLOOKUP(B31,LFinder!A:A,LFinder!B:B,"absent des plateformes")</f>
        <v>61</v>
      </c>
    </row>
    <row r="32">
      <c r="A32" s="3" t="s">
        <v>64</v>
      </c>
      <c r="B32" s="4" t="str">
        <f>IFERROR(__xludf.DUMMYFUNCTION("REGEXREPLACE(A32, ""^https?://(www\.)?|/.*"", """")"),"crowdlending.fr")</f>
        <v>crowdlending.fr</v>
      </c>
      <c r="C32" s="1" t="s">
        <v>50</v>
      </c>
      <c r="D32" s="1">
        <v>1.0</v>
      </c>
      <c r="E32" s="1" t="s">
        <v>51</v>
      </c>
      <c r="F32" s="1" t="s">
        <v>10</v>
      </c>
      <c r="G32" s="5">
        <f t="array" ref="G32">XLOOKUP(B32,LFinder!A:A,LFinder!B:B,"absent des plateformes")</f>
        <v>62</v>
      </c>
    </row>
    <row r="33">
      <c r="A33" s="3" t="s">
        <v>65</v>
      </c>
      <c r="B33" s="4" t="str">
        <f>IFERROR(__xludf.DUMMYFUNCTION("REGEXREPLACE(A33, ""^https?://(www\.)?|/.*"", """")"),"charlestech.fr")</f>
        <v>charlestech.fr</v>
      </c>
      <c r="C33" s="1" t="s">
        <v>8</v>
      </c>
      <c r="D33" s="1">
        <v>1.0</v>
      </c>
      <c r="E33" s="1" t="s">
        <v>66</v>
      </c>
      <c r="F33" s="1" t="s">
        <v>10</v>
      </c>
      <c r="G33" s="5">
        <f t="array" ref="G33">XLOOKUP(B33,LFinder!A:A,LFinder!B:B,"absent des plateformes")</f>
        <v>65</v>
      </c>
    </row>
    <row r="34">
      <c r="A34" s="3" t="s">
        <v>67</v>
      </c>
      <c r="B34" s="4" t="str">
        <f>IFERROR(__xludf.DUMMYFUNCTION("REGEXREPLACE(A34, ""^https?://(www\.)?|/.*"", """")"),"pharrell.fr")</f>
        <v>pharrell.fr</v>
      </c>
      <c r="C34" s="1" t="s">
        <v>8</v>
      </c>
      <c r="D34" s="1">
        <v>1.0</v>
      </c>
      <c r="E34" s="1" t="s">
        <v>56</v>
      </c>
      <c r="F34" s="1" t="s">
        <v>10</v>
      </c>
      <c r="G34" s="5">
        <f t="array" ref="G34">XLOOKUP(B34,LFinder!A:A,LFinder!B:B,"absent des plateformes")</f>
        <v>91</v>
      </c>
    </row>
    <row r="35">
      <c r="A35" s="3" t="s">
        <v>68</v>
      </c>
      <c r="B35" s="4" t="str">
        <f>IFERROR(__xludf.DUMMYFUNCTION("REGEXREPLACE(A35, ""^https?://(www\.)?|/.*"", """")"),"pharrell.fr")</f>
        <v>pharrell.fr</v>
      </c>
      <c r="C35" s="1" t="s">
        <v>8</v>
      </c>
      <c r="D35" s="1">
        <v>1.0</v>
      </c>
      <c r="E35" s="1" t="s">
        <v>66</v>
      </c>
      <c r="F35" s="1" t="s">
        <v>10</v>
      </c>
      <c r="G35" s="5">
        <f t="array" ref="G35">XLOOKUP(B35,LFinder!A:A,LFinder!B:B,"absent des plateformes")</f>
        <v>91</v>
      </c>
    </row>
    <row r="36">
      <c r="A36" s="3" t="s">
        <v>69</v>
      </c>
      <c r="B36" s="4" t="str">
        <f>IFERROR(__xludf.DUMMYFUNCTION("REGEXREPLACE(A36, ""^https?://(www\.)?|/.*"", """")"),"perspectives-retraite.com")</f>
        <v>perspectives-retraite.com</v>
      </c>
      <c r="C36" s="1" t="s">
        <v>8</v>
      </c>
      <c r="D36" s="1">
        <v>2.0</v>
      </c>
      <c r="E36" s="1" t="s">
        <v>61</v>
      </c>
      <c r="F36" s="1" t="s">
        <v>10</v>
      </c>
      <c r="G36" s="5">
        <f t="array" ref="G36">XLOOKUP(B36,LFinder!A:A,LFinder!B:B,"absent des plateformes")</f>
        <v>93</v>
      </c>
    </row>
    <row r="37">
      <c r="A37" s="3" t="s">
        <v>70</v>
      </c>
      <c r="B37" s="4" t="str">
        <f>IFERROR(__xludf.DUMMYFUNCTION("REGEXREPLACE(A37, ""^https?://(www\.)?|/.*"", """")"),"perspectives-retraite.com")</f>
        <v>perspectives-retraite.com</v>
      </c>
      <c r="C37" s="1" t="s">
        <v>8</v>
      </c>
      <c r="D37" s="1">
        <v>1.0</v>
      </c>
      <c r="E37" s="1" t="s">
        <v>71</v>
      </c>
      <c r="F37" s="1" t="s">
        <v>10</v>
      </c>
      <c r="G37" s="5">
        <f t="array" ref="G37">XLOOKUP(B37,LFinder!A:A,LFinder!B:B,"absent des plateformes")</f>
        <v>93</v>
      </c>
    </row>
    <row r="38">
      <c r="A38" s="3" t="s">
        <v>72</v>
      </c>
      <c r="B38" s="4" t="str">
        <f>IFERROR(__xludf.DUMMYFUNCTION("REGEXREPLACE(A38, ""^https?://(www\.)?|/.*"", """")"),"cyfernet.org")</f>
        <v>cyfernet.org</v>
      </c>
      <c r="C38" s="1" t="s">
        <v>8</v>
      </c>
      <c r="D38" s="1">
        <v>1.0</v>
      </c>
      <c r="E38" s="1" t="s">
        <v>12</v>
      </c>
      <c r="F38" s="1" t="s">
        <v>10</v>
      </c>
      <c r="G38" s="5">
        <f t="array" ref="G38">XLOOKUP(B38,LFinder!A:A,LFinder!B:B,"absent des plateformes")</f>
        <v>103</v>
      </c>
    </row>
    <row r="39">
      <c r="A39" s="3" t="s">
        <v>73</v>
      </c>
      <c r="B39" s="4" t="str">
        <f>IFERROR(__xludf.DUMMYFUNCTION("REGEXREPLACE(A39, ""^https?://(www\.)?|/.*"", """")"),"hdfever.fr")</f>
        <v>hdfever.fr</v>
      </c>
      <c r="C39" s="1" t="s">
        <v>8</v>
      </c>
      <c r="D39" s="1">
        <v>1.0</v>
      </c>
      <c r="E39" s="1" t="s">
        <v>36</v>
      </c>
      <c r="F39" s="1" t="s">
        <v>10</v>
      </c>
      <c r="G39" s="5">
        <f t="array" ref="G39">XLOOKUP(B39,LFinder!A:A,LFinder!B:B,"absent des plateformes")</f>
        <v>136</v>
      </c>
    </row>
    <row r="40">
      <c r="A40" s="3" t="s">
        <v>74</v>
      </c>
      <c r="B40" s="4" t="str">
        <f>IFERROR(__xludf.DUMMYFUNCTION("REGEXREPLACE(A40, ""^https?://(www\.)?|/.*"", """")"),"cesdefrance.fr")</f>
        <v>cesdefrance.fr</v>
      </c>
      <c r="C40" s="1" t="s">
        <v>8</v>
      </c>
      <c r="D40" s="1">
        <v>2.0</v>
      </c>
      <c r="E40" s="1" t="s">
        <v>75</v>
      </c>
      <c r="F40" s="1" t="s">
        <v>10</v>
      </c>
      <c r="G40" s="5">
        <f t="array" ref="G40">XLOOKUP(B40,LFinder!A:A,LFinder!B:B,"absent des plateformes")</f>
        <v>198</v>
      </c>
    </row>
    <row r="41">
      <c r="A41" s="3" t="s">
        <v>76</v>
      </c>
      <c r="B41" s="4" t="str">
        <f>IFERROR(__xludf.DUMMYFUNCTION("REGEXREPLACE(A41, ""^https?://(www\.)?|/.*"", """")"),"digitiz.fr")</f>
        <v>digitiz.fr</v>
      </c>
      <c r="C41" s="1" t="s">
        <v>8</v>
      </c>
      <c r="D41" s="1">
        <v>3.0</v>
      </c>
      <c r="E41" s="1" t="s">
        <v>77</v>
      </c>
      <c r="F41" s="1" t="s">
        <v>10</v>
      </c>
      <c r="G41" s="5">
        <f t="array" ref="G41">XLOOKUP(B41,LFinder!A:A,LFinder!B:B,"absent des plateformes")</f>
        <v>257</v>
      </c>
    </row>
    <row r="42">
      <c r="A42" s="3" t="s">
        <v>78</v>
      </c>
      <c r="B42" s="4" t="str">
        <f>IFERROR(__xludf.DUMMYFUNCTION("REGEXREPLACE(A42, ""^https?://(www\.)?|/.*"", """")"),"digitiz.fr")</f>
        <v>digitiz.fr</v>
      </c>
      <c r="C42" s="1" t="s">
        <v>8</v>
      </c>
      <c r="D42" s="1">
        <v>1.0</v>
      </c>
      <c r="E42" s="1" t="s">
        <v>66</v>
      </c>
      <c r="F42" s="1" t="s">
        <v>54</v>
      </c>
      <c r="G42" s="5">
        <f t="array" ref="G42">XLOOKUP(B42,LFinder!A:A,LFinder!B:B,"absent des plateformes")</f>
        <v>257</v>
      </c>
    </row>
    <row r="43">
      <c r="A43" s="3" t="s">
        <v>79</v>
      </c>
      <c r="B43" s="4" t="str">
        <f>IFERROR(__xludf.DUMMYFUNCTION("REGEXREPLACE(A43, ""^https?://(www\.)?|/.*"", """")"),"digitiz.fr")</f>
        <v>digitiz.fr</v>
      </c>
      <c r="C43" s="1" t="s">
        <v>50</v>
      </c>
      <c r="D43" s="1">
        <v>1.0</v>
      </c>
      <c r="E43" s="1" t="s">
        <v>66</v>
      </c>
      <c r="F43" s="1" t="s">
        <v>10</v>
      </c>
      <c r="G43" s="5">
        <f t="array" ref="G43">XLOOKUP(B43,LFinder!A:A,LFinder!B:B,"absent des plateformes")</f>
        <v>257</v>
      </c>
    </row>
    <row r="44">
      <c r="A44" s="3" t="s">
        <v>80</v>
      </c>
      <c r="B44" s="4" t="str">
        <f>IFERROR(__xludf.DUMMYFUNCTION("REGEXREPLACE(A44, ""^https?://(www\.)?|/.*"", """")"),"lessentieldeleco.fr")</f>
        <v>lessentieldeleco.fr</v>
      </c>
      <c r="C44" s="1" t="s">
        <v>8</v>
      </c>
      <c r="D44" s="1">
        <v>1.0</v>
      </c>
      <c r="E44" s="1" t="s">
        <v>47</v>
      </c>
      <c r="F44" s="1" t="s">
        <v>54</v>
      </c>
      <c r="G44" s="5">
        <f t="array" ref="G44">XLOOKUP(B44,LFinder!A:A,LFinder!B:B,"absent des plateformes")</f>
        <v>264</v>
      </c>
    </row>
    <row r="45">
      <c r="A45" s="3" t="s">
        <v>81</v>
      </c>
      <c r="B45" s="4" t="str">
        <f>IFERROR(__xludf.DUMMYFUNCTION("REGEXREPLACE(A45, ""^https?://(www\.)?|/.*"", """")"),"compte-pro.com")</f>
        <v>compte-pro.com</v>
      </c>
      <c r="C45" s="1" t="s">
        <v>8</v>
      </c>
      <c r="D45" s="1">
        <v>3.0</v>
      </c>
      <c r="E45" s="1" t="s">
        <v>82</v>
      </c>
      <c r="F45" s="1" t="s">
        <v>10</v>
      </c>
      <c r="G45" s="5">
        <f t="array" ref="G45">XLOOKUP(B45,LFinder!A:A,LFinder!B:B,"absent des plateformes")</f>
        <v>306</v>
      </c>
    </row>
    <row r="46">
      <c r="A46" s="3" t="s">
        <v>83</v>
      </c>
      <c r="B46" s="4" t="str">
        <f>IFERROR(__xludf.DUMMYFUNCTION("REGEXREPLACE(A46, ""^https?://(www\.)?|/.*"", """")"),"compte-pro.com")</f>
        <v>compte-pro.com</v>
      </c>
      <c r="C46" s="1" t="s">
        <v>8</v>
      </c>
      <c r="D46" s="1">
        <v>1.0</v>
      </c>
      <c r="E46" s="1" t="s">
        <v>36</v>
      </c>
      <c r="F46" s="1" t="s">
        <v>10</v>
      </c>
      <c r="G46" s="5">
        <f t="array" ref="G46">XLOOKUP(B46,LFinder!A:A,LFinder!B:B,"absent des plateformes")</f>
        <v>306</v>
      </c>
    </row>
    <row r="47">
      <c r="A47" s="3" t="s">
        <v>84</v>
      </c>
      <c r="B47" s="4" t="str">
        <f>IFERROR(__xludf.DUMMYFUNCTION("REGEXREPLACE(A47, ""^https?://(www\.)?|/.*"", """")"),"compte-pro.com")</f>
        <v>compte-pro.com</v>
      </c>
      <c r="C47" s="1" t="s">
        <v>8</v>
      </c>
      <c r="D47" s="1">
        <v>1.0</v>
      </c>
      <c r="E47" s="1" t="s">
        <v>51</v>
      </c>
      <c r="F47" s="1" t="s">
        <v>54</v>
      </c>
      <c r="G47" s="5">
        <f t="array" ref="G47">XLOOKUP(B47,LFinder!A:A,LFinder!B:B,"absent des plateformes")</f>
        <v>306</v>
      </c>
    </row>
    <row r="48">
      <c r="A48" s="3" t="s">
        <v>85</v>
      </c>
      <c r="B48" s="4" t="str">
        <f>IFERROR(__xludf.DUMMYFUNCTION("REGEXREPLACE(A48, ""^https?://(www\.)?|/.*"", """")"),"compte-pro.com")</f>
        <v>compte-pro.com</v>
      </c>
      <c r="C48" s="1" t="s">
        <v>8</v>
      </c>
      <c r="D48" s="1">
        <v>1.0</v>
      </c>
      <c r="E48" s="1" t="s">
        <v>51</v>
      </c>
      <c r="F48" s="1" t="s">
        <v>10</v>
      </c>
      <c r="G48" s="5">
        <f t="array" ref="G48">XLOOKUP(B48,LFinder!A:A,LFinder!B:B,"absent des plateformes")</f>
        <v>306</v>
      </c>
    </row>
    <row r="49">
      <c r="A49" s="3" t="s">
        <v>86</v>
      </c>
      <c r="B49" s="4" t="str">
        <f>IFERROR(__xludf.DUMMYFUNCTION("REGEXREPLACE(A49, ""^https?://(www\.)?|/.*"", """")"),"compte-pro.com")</f>
        <v>compte-pro.com</v>
      </c>
      <c r="C49" s="1" t="s">
        <v>8</v>
      </c>
      <c r="D49" s="1">
        <v>1.0</v>
      </c>
      <c r="E49" s="1" t="s">
        <v>51</v>
      </c>
      <c r="F49" s="1" t="s">
        <v>10</v>
      </c>
      <c r="G49" s="5">
        <f t="array" ref="G49">XLOOKUP(B49,LFinder!A:A,LFinder!B:B,"absent des plateformes")</f>
        <v>306</v>
      </c>
    </row>
    <row r="50">
      <c r="A50" s="3" t="s">
        <v>87</v>
      </c>
      <c r="B50" s="4" t="str">
        <f>IFERROR(__xludf.DUMMYFUNCTION("REGEXREPLACE(A50, ""^https?://(www\.)?|/.*"", """")"),"compte-pro.com")</f>
        <v>compte-pro.com</v>
      </c>
      <c r="C50" s="1" t="s">
        <v>8</v>
      </c>
      <c r="D50" s="1">
        <v>1.0</v>
      </c>
      <c r="E50" s="1" t="s">
        <v>51</v>
      </c>
      <c r="F50" s="1" t="s">
        <v>10</v>
      </c>
      <c r="G50" s="5">
        <f t="array" ref="G50">XLOOKUP(B50,LFinder!A:A,LFinder!B:B,"absent des plateformes")</f>
        <v>306</v>
      </c>
    </row>
    <row r="51">
      <c r="A51" s="3" t="s">
        <v>88</v>
      </c>
      <c r="B51" s="4" t="str">
        <f>IFERROR(__xludf.DUMMYFUNCTION("REGEXREPLACE(A51, ""^https?://(www\.)?|/.*"", """")"),"compte-pro.com")</f>
        <v>compte-pro.com</v>
      </c>
      <c r="C51" s="1" t="s">
        <v>8</v>
      </c>
      <c r="D51" s="1">
        <v>1.0</v>
      </c>
      <c r="E51" s="1" t="s">
        <v>82</v>
      </c>
      <c r="F51" s="1" t="s">
        <v>54</v>
      </c>
      <c r="G51" s="5">
        <f t="array" ref="G51">XLOOKUP(B51,LFinder!A:A,LFinder!B:B,"absent des plateformes")</f>
        <v>306</v>
      </c>
    </row>
    <row r="52">
      <c r="A52" s="3" t="s">
        <v>89</v>
      </c>
      <c r="B52" s="4" t="str">
        <f>IFERROR(__xludf.DUMMYFUNCTION("REGEXREPLACE(A52, ""^https?://(www\.)?|/.*"", """")"),"compte-pro.com")</f>
        <v>compte-pro.com</v>
      </c>
      <c r="C52" s="1" t="s">
        <v>8</v>
      </c>
      <c r="D52" s="1">
        <v>1.0</v>
      </c>
      <c r="E52" s="1" t="s">
        <v>14</v>
      </c>
      <c r="F52" s="1" t="s">
        <v>54</v>
      </c>
      <c r="G52" s="5">
        <f t="array" ref="G52">XLOOKUP(B52,LFinder!A:A,LFinder!B:B,"absent des plateformes")</f>
        <v>306</v>
      </c>
    </row>
    <row r="53">
      <c r="A53" s="3" t="s">
        <v>90</v>
      </c>
      <c r="B53" s="4" t="str">
        <f>IFERROR(__xludf.DUMMYFUNCTION("REGEXREPLACE(A53, ""^https?://(www\.)?|/.*"", """")"),"mondetech.fr")</f>
        <v>mondetech.fr</v>
      </c>
      <c r="C53" s="1" t="s">
        <v>8</v>
      </c>
      <c r="D53" s="1">
        <v>1.0</v>
      </c>
      <c r="E53" s="1" t="s">
        <v>91</v>
      </c>
      <c r="F53" s="1" t="s">
        <v>10</v>
      </c>
      <c r="G53" s="5">
        <f t="array" ref="G53">XLOOKUP(B53,LFinder!A:A,LFinder!B:B,"absent des plateformes")</f>
        <v>315</v>
      </c>
    </row>
    <row r="54">
      <c r="A54" s="3" t="s">
        <v>92</v>
      </c>
      <c r="B54" s="4" t="str">
        <f>IFERROR(__xludf.DUMMYFUNCTION("REGEXREPLACE(A54, ""^https?://(www\.)?|/.*"", """")"),"mondetech.fr")</f>
        <v>mondetech.fr</v>
      </c>
      <c r="C54" s="1" t="s">
        <v>8</v>
      </c>
      <c r="D54" s="1">
        <v>1.0</v>
      </c>
      <c r="E54" s="1" t="s">
        <v>91</v>
      </c>
      <c r="F54" s="1" t="s">
        <v>10</v>
      </c>
      <c r="G54" s="5">
        <f t="array" ref="G54">XLOOKUP(B54,LFinder!A:A,LFinder!B:B,"absent des plateformes")</f>
        <v>315</v>
      </c>
    </row>
    <row r="55">
      <c r="A55" s="3" t="s">
        <v>93</v>
      </c>
      <c r="B55" s="4" t="str">
        <f>IFERROR(__xludf.DUMMYFUNCTION("REGEXREPLACE(A55, ""^https?://(www\.)?|/.*"", """")"),"ideal-investisseur.fr")</f>
        <v>ideal-investisseur.fr</v>
      </c>
      <c r="C55" s="1" t="s">
        <v>8</v>
      </c>
      <c r="D55" s="1">
        <v>1.0</v>
      </c>
      <c r="E55" s="1" t="s">
        <v>43</v>
      </c>
      <c r="F55" s="1" t="s">
        <v>10</v>
      </c>
      <c r="G55" s="5">
        <f t="array" ref="G55">XLOOKUP(B55,LFinder!A:A,LFinder!B:B,"absent des plateformes")</f>
        <v>330</v>
      </c>
    </row>
    <row r="56">
      <c r="A56" s="3" t="s">
        <v>94</v>
      </c>
      <c r="B56" s="4" t="str">
        <f>IFERROR(__xludf.DUMMYFUNCTION("REGEXREPLACE(A56, ""^https?://(www\.)?|/.*"", """")"),"guidedelabanque.fr")</f>
        <v>guidedelabanque.fr</v>
      </c>
      <c r="C56" s="1" t="s">
        <v>8</v>
      </c>
      <c r="D56" s="1">
        <v>1.0</v>
      </c>
      <c r="E56" s="1" t="s">
        <v>14</v>
      </c>
      <c r="F56" s="1" t="s">
        <v>10</v>
      </c>
      <c r="G56" s="5">
        <f t="array" ref="G56">XLOOKUP(B56,LFinder!A:A,LFinder!B:B,"absent des plateformes")</f>
        <v>339</v>
      </c>
    </row>
    <row r="57">
      <c r="A57" s="3" t="s">
        <v>95</v>
      </c>
      <c r="B57" s="4" t="str">
        <f>IFERROR(__xludf.DUMMYFUNCTION("REGEXREPLACE(A57, ""^https?://(www\.)?|/.*"", """")"),"pme-web.com")</f>
        <v>pme-web.com</v>
      </c>
      <c r="C57" s="1" t="s">
        <v>8</v>
      </c>
      <c r="D57" s="1">
        <v>1.0</v>
      </c>
      <c r="E57" s="1" t="s">
        <v>82</v>
      </c>
      <c r="F57" s="1" t="s">
        <v>10</v>
      </c>
      <c r="G57" s="5">
        <f t="array" ref="G57">XLOOKUP(B57,LFinder!A:A,LFinder!B:B,"absent des plateformes")</f>
        <v>374</v>
      </c>
    </row>
    <row r="58">
      <c r="A58" s="3" t="s">
        <v>96</v>
      </c>
      <c r="B58" s="4" t="str">
        <f>IFERROR(__xludf.DUMMYFUNCTION("REGEXREPLACE(A58, ""^https?://(www\.)?|/.*"", """")"),"netpublic.fr")</f>
        <v>netpublic.fr</v>
      </c>
      <c r="C58" s="1" t="s">
        <v>8</v>
      </c>
      <c r="D58" s="1">
        <v>2.0</v>
      </c>
      <c r="E58" s="1" t="s">
        <v>14</v>
      </c>
      <c r="F58" s="1" t="s">
        <v>10</v>
      </c>
      <c r="G58" s="5">
        <f t="array" ref="G58">XLOOKUP(B58,LFinder!A:A,LFinder!B:B,"absent des plateformes")</f>
        <v>400</v>
      </c>
    </row>
    <row r="59">
      <c r="A59" s="3" t="s">
        <v>97</v>
      </c>
      <c r="B59" s="4" t="str">
        <f>IFERROR(__xludf.DUMMYFUNCTION("REGEXREPLACE(A59, ""^https?://(www\.)?|/.*"", """")"),"village-justice.com")</f>
        <v>village-justice.com</v>
      </c>
      <c r="C59" s="1" t="s">
        <v>8</v>
      </c>
      <c r="D59" s="1">
        <v>1.0</v>
      </c>
      <c r="E59" s="1" t="s">
        <v>98</v>
      </c>
      <c r="F59" s="1" t="s">
        <v>10</v>
      </c>
      <c r="G59" s="5">
        <f t="array" ref="G59">XLOOKUP(B59,LFinder!A:A,LFinder!B:B,"absent des plateformes")</f>
        <v>430</v>
      </c>
    </row>
    <row r="60">
      <c r="A60" s="3" t="s">
        <v>99</v>
      </c>
      <c r="B60" s="4" t="str">
        <f>IFERROR(__xludf.DUMMYFUNCTION("REGEXREPLACE(A60, ""^https?://(www\.)?|/.*"", """")"),"infos-byz.com")</f>
        <v>infos-byz.com</v>
      </c>
      <c r="C60" s="1" t="s">
        <v>8</v>
      </c>
      <c r="D60" s="1">
        <v>1.0</v>
      </c>
      <c r="E60" s="1" t="s">
        <v>91</v>
      </c>
      <c r="F60" s="1" t="s">
        <v>10</v>
      </c>
      <c r="G60" s="5">
        <f t="array" ref="G60">XLOOKUP(B60,LFinder!A:A,LFinder!B:B,"absent des plateformes")</f>
        <v>447</v>
      </c>
    </row>
    <row r="61">
      <c r="A61" s="3" t="s">
        <v>100</v>
      </c>
      <c r="B61" s="4" t="str">
        <f>IFERROR(__xludf.DUMMYFUNCTION("REGEXREPLACE(A61, ""^https?://(www\.)?|/.*"", """")"),"infonet.fr")</f>
        <v>infonet.fr</v>
      </c>
      <c r="C61" s="1" t="s">
        <v>8</v>
      </c>
      <c r="D61" s="1">
        <v>1.0</v>
      </c>
      <c r="E61" s="1" t="s">
        <v>98</v>
      </c>
      <c r="F61" s="1" t="s">
        <v>10</v>
      </c>
      <c r="G61" s="5">
        <f t="array" ref="G61">XLOOKUP(B61,LFinder!A:A,LFinder!B:B,"absent des plateformes")</f>
        <v>448</v>
      </c>
    </row>
    <row r="62">
      <c r="A62" s="3" t="s">
        <v>101</v>
      </c>
      <c r="B62" s="4" t="str">
        <f>IFERROR(__xludf.DUMMYFUNCTION("REGEXREPLACE(A62, ""^https?://(www\.)?|/.*"", """")"),"plateya.fr")</f>
        <v>plateya.fr</v>
      </c>
      <c r="C62" s="1" t="s">
        <v>8</v>
      </c>
      <c r="D62" s="1">
        <v>8.0</v>
      </c>
      <c r="E62" s="1" t="s">
        <v>102</v>
      </c>
      <c r="F62" s="1" t="s">
        <v>10</v>
      </c>
      <c r="G62" s="5">
        <f t="array" ref="G62">XLOOKUP(B62,LFinder!A:A,LFinder!B:B,"absent des plateformes")</f>
        <v>508</v>
      </c>
    </row>
    <row r="63">
      <c r="A63" s="3" t="s">
        <v>103</v>
      </c>
      <c r="B63" s="4" t="str">
        <f>IFERROR(__xludf.DUMMYFUNCTION("REGEXREPLACE(A63, ""^https?://(www\.)?|/.*"", """")"),"plateya.fr")</f>
        <v>plateya.fr</v>
      </c>
      <c r="C63" s="1" t="s">
        <v>8</v>
      </c>
      <c r="D63" s="1">
        <v>5.0</v>
      </c>
      <c r="E63" s="1" t="s">
        <v>104</v>
      </c>
      <c r="F63" s="1" t="s">
        <v>10</v>
      </c>
      <c r="G63" s="5">
        <f t="array" ref="G63">XLOOKUP(B63,LFinder!A:A,LFinder!B:B,"absent des plateformes")</f>
        <v>508</v>
      </c>
    </row>
    <row r="64">
      <c r="A64" s="3" t="s">
        <v>105</v>
      </c>
      <c r="B64" s="4" t="str">
        <f>IFERROR(__xludf.DUMMYFUNCTION("REGEXREPLACE(A64, ""^https?://(www\.)?|/.*"", """")"),"plateya.fr")</f>
        <v>plateya.fr</v>
      </c>
      <c r="C64" s="1" t="s">
        <v>8</v>
      </c>
      <c r="D64" s="1">
        <v>4.0</v>
      </c>
      <c r="E64" s="1" t="s">
        <v>106</v>
      </c>
      <c r="F64" s="1" t="s">
        <v>54</v>
      </c>
      <c r="G64" s="5">
        <f t="array" ref="G64">XLOOKUP(B64,LFinder!A:A,LFinder!B:B,"absent des plateformes")</f>
        <v>508</v>
      </c>
    </row>
    <row r="65">
      <c r="A65" s="3" t="s">
        <v>107</v>
      </c>
      <c r="B65" s="4" t="str">
        <f>IFERROR(__xludf.DUMMYFUNCTION("REGEXREPLACE(A65, ""^https?://(www\.)?|/.*"", """")"),"plateya.fr")</f>
        <v>plateya.fr</v>
      </c>
      <c r="C65" s="1" t="s">
        <v>8</v>
      </c>
      <c r="D65" s="1">
        <v>1.0</v>
      </c>
      <c r="E65" s="1" t="s">
        <v>56</v>
      </c>
      <c r="F65" s="1" t="s">
        <v>10</v>
      </c>
      <c r="G65" s="5">
        <f t="array" ref="G65">XLOOKUP(B65,LFinder!A:A,LFinder!B:B,"absent des plateformes")</f>
        <v>508</v>
      </c>
    </row>
    <row r="66">
      <c r="A66" s="3" t="s">
        <v>108</v>
      </c>
      <c r="B66" s="4" t="str">
        <f>IFERROR(__xludf.DUMMYFUNCTION("REGEXREPLACE(A66, ""^https?://(www\.)?|/.*"", """")"),"plateya.fr")</f>
        <v>plateya.fr</v>
      </c>
      <c r="C66" s="1" t="s">
        <v>8</v>
      </c>
      <c r="D66" s="1">
        <v>1.0</v>
      </c>
      <c r="E66" s="1" t="s">
        <v>31</v>
      </c>
      <c r="F66" s="1" t="s">
        <v>10</v>
      </c>
      <c r="G66" s="5">
        <f t="array" ref="G66">XLOOKUP(B66,LFinder!A:A,LFinder!B:B,"absent des plateformes")</f>
        <v>508</v>
      </c>
    </row>
    <row r="67">
      <c r="A67" s="3" t="s">
        <v>109</v>
      </c>
      <c r="B67" s="4" t="str">
        <f>IFERROR(__xludf.DUMMYFUNCTION("REGEXREPLACE(A67, ""^https?://(www\.)?|/.*"", """")"),"plateya.fr")</f>
        <v>plateya.fr</v>
      </c>
      <c r="C67" s="1" t="s">
        <v>8</v>
      </c>
      <c r="D67" s="1">
        <v>1.0</v>
      </c>
      <c r="E67" s="1" t="s">
        <v>31</v>
      </c>
      <c r="F67" s="1" t="s">
        <v>10</v>
      </c>
      <c r="G67" s="5">
        <f t="array" ref="G67">XLOOKUP(B67,LFinder!A:A,LFinder!B:B,"absent des plateformes")</f>
        <v>508</v>
      </c>
    </row>
    <row r="68">
      <c r="A68" s="3" t="s">
        <v>110</v>
      </c>
      <c r="B68" s="4" t="str">
        <f>IFERROR(__xludf.DUMMYFUNCTION("REGEXREPLACE(A68, ""^https?://(www\.)?|/.*"", """")"),"plateya.fr")</f>
        <v>plateya.fr</v>
      </c>
      <c r="C68" s="1" t="s">
        <v>8</v>
      </c>
      <c r="D68" s="1">
        <v>1.0</v>
      </c>
      <c r="E68" s="1" t="s">
        <v>91</v>
      </c>
      <c r="F68" s="1" t="s">
        <v>10</v>
      </c>
      <c r="G68" s="5">
        <f t="array" ref="G68">XLOOKUP(B68,LFinder!A:A,LFinder!B:B,"absent des plateformes")</f>
        <v>508</v>
      </c>
    </row>
    <row r="69">
      <c r="A69" s="3" t="s">
        <v>111</v>
      </c>
      <c r="B69" s="4" t="str">
        <f>IFERROR(__xludf.DUMMYFUNCTION("REGEXREPLACE(A69, ""^https?://(www\.)?|/.*"", """")"),"plateya.fr")</f>
        <v>plateya.fr</v>
      </c>
      <c r="C69" s="1" t="s">
        <v>8</v>
      </c>
      <c r="D69" s="1">
        <v>1.0</v>
      </c>
      <c r="E69" s="1" t="s">
        <v>45</v>
      </c>
      <c r="F69" s="1" t="s">
        <v>10</v>
      </c>
      <c r="G69" s="5">
        <f t="array" ref="G69">XLOOKUP(B69,LFinder!A:A,LFinder!B:B,"absent des plateformes")</f>
        <v>508</v>
      </c>
    </row>
    <row r="70">
      <c r="A70" s="3" t="s">
        <v>112</v>
      </c>
      <c r="B70" s="4" t="str">
        <f>IFERROR(__xludf.DUMMYFUNCTION("REGEXREPLACE(A70, ""^https?://(www\.)?|/.*"", """")"),"plateya.fr")</f>
        <v>plateya.fr</v>
      </c>
      <c r="C70" s="1" t="s">
        <v>8</v>
      </c>
      <c r="D70" s="1">
        <v>1.0</v>
      </c>
      <c r="E70" s="1" t="s">
        <v>45</v>
      </c>
      <c r="F70" s="1" t="s">
        <v>10</v>
      </c>
      <c r="G70" s="5">
        <f t="array" ref="G70">XLOOKUP(B70,LFinder!A:A,LFinder!B:B,"absent des plateformes")</f>
        <v>508</v>
      </c>
    </row>
    <row r="71">
      <c r="A71" s="3" t="s">
        <v>113</v>
      </c>
      <c r="B71" s="4" t="str">
        <f>IFERROR(__xludf.DUMMYFUNCTION("REGEXREPLACE(A71, ""^https?://(www\.)?|/.*"", """")"),"plateya.fr")</f>
        <v>plateya.fr</v>
      </c>
      <c r="C71" s="1" t="s">
        <v>8</v>
      </c>
      <c r="D71" s="1">
        <v>1.0</v>
      </c>
      <c r="E71" s="1" t="s">
        <v>91</v>
      </c>
      <c r="F71" s="1" t="s">
        <v>10</v>
      </c>
      <c r="G71" s="5">
        <f t="array" ref="G71">XLOOKUP(B71,LFinder!A:A,LFinder!B:B,"absent des plateformes")</f>
        <v>508</v>
      </c>
    </row>
    <row r="72">
      <c r="A72" s="3" t="s">
        <v>114</v>
      </c>
      <c r="B72" s="4" t="str">
        <f>IFERROR(__xludf.DUMMYFUNCTION("REGEXREPLACE(A72, ""^https?://(www\.)?|/.*"", """")"),"plateya.fr")</f>
        <v>plateya.fr</v>
      </c>
      <c r="C72" s="1" t="s">
        <v>8</v>
      </c>
      <c r="D72" s="1">
        <v>1.0</v>
      </c>
      <c r="E72" s="1" t="s">
        <v>56</v>
      </c>
      <c r="F72" s="1" t="s">
        <v>10</v>
      </c>
      <c r="G72" s="5">
        <f t="array" ref="G72">XLOOKUP(B72,LFinder!A:A,LFinder!B:B,"absent des plateformes")</f>
        <v>508</v>
      </c>
    </row>
    <row r="73">
      <c r="A73" s="3" t="s">
        <v>115</v>
      </c>
      <c r="B73" s="4" t="str">
        <f>IFERROR(__xludf.DUMMYFUNCTION("REGEXREPLACE(A73, ""^https?://(www\.)?|/.*"", """")"),"plateya.fr")</f>
        <v>plateya.fr</v>
      </c>
      <c r="C73" s="1" t="s">
        <v>8</v>
      </c>
      <c r="D73" s="1">
        <v>1.0</v>
      </c>
      <c r="E73" s="1" t="s">
        <v>38</v>
      </c>
      <c r="F73" s="1" t="s">
        <v>10</v>
      </c>
      <c r="G73" s="5">
        <f t="array" ref="G73">XLOOKUP(B73,LFinder!A:A,LFinder!B:B,"absent des plateformes")</f>
        <v>508</v>
      </c>
    </row>
    <row r="74">
      <c r="A74" s="3" t="s">
        <v>116</v>
      </c>
      <c r="B74" s="4" t="str">
        <f>IFERROR(__xludf.DUMMYFUNCTION("REGEXREPLACE(A74, ""^https?://(www\.)?|/.*"", """")"),"leptidigital.fr")</f>
        <v>leptidigital.fr</v>
      </c>
      <c r="C74" s="1" t="s">
        <v>8</v>
      </c>
      <c r="D74" s="1">
        <v>4.0</v>
      </c>
      <c r="E74" s="1" t="s">
        <v>117</v>
      </c>
      <c r="F74" s="1" t="s">
        <v>10</v>
      </c>
      <c r="G74" s="5">
        <f t="array" ref="G74">XLOOKUP(B74,LFinder!A:A,LFinder!B:B,"absent des plateformes")</f>
        <v>602</v>
      </c>
    </row>
    <row r="75">
      <c r="A75" s="3" t="s">
        <v>118</v>
      </c>
      <c r="B75" s="4" t="str">
        <f>IFERROR(__xludf.DUMMYFUNCTION("REGEXREPLACE(A75, ""^https?://(www\.)?|/.*"", """")"),"leptidigital.fr")</f>
        <v>leptidigital.fr</v>
      </c>
      <c r="C75" s="1" t="s">
        <v>8</v>
      </c>
      <c r="D75" s="1">
        <v>2.0</v>
      </c>
      <c r="E75" s="1" t="s">
        <v>12</v>
      </c>
      <c r="F75" s="1" t="s">
        <v>10</v>
      </c>
      <c r="G75" s="5">
        <f t="array" ref="G75">XLOOKUP(B75,LFinder!A:A,LFinder!B:B,"absent des plateformes")</f>
        <v>602</v>
      </c>
    </row>
    <row r="76">
      <c r="A76" s="3" t="s">
        <v>119</v>
      </c>
      <c r="B76" s="4" t="str">
        <f>IFERROR(__xludf.DUMMYFUNCTION("REGEXREPLACE(A76, ""^https?://(www\.)?|/.*"", """")"),"lepoint.fr")</f>
        <v>lepoint.fr</v>
      </c>
      <c r="C76" s="1" t="s">
        <v>8</v>
      </c>
      <c r="D76" s="1">
        <v>16.0</v>
      </c>
      <c r="E76" s="1" t="s">
        <v>102</v>
      </c>
      <c r="F76" s="1" t="s">
        <v>10</v>
      </c>
      <c r="G76" s="5">
        <f t="array" ref="G76">XLOOKUP(B76,LFinder!A:A,LFinder!B:B,"absent des plateformes")</f>
        <v>630</v>
      </c>
    </row>
    <row r="77">
      <c r="A77" s="3" t="s">
        <v>120</v>
      </c>
      <c r="B77" s="4" t="str">
        <f>IFERROR(__xludf.DUMMYFUNCTION("REGEXREPLACE(A77, ""^https?://(www\.)?|/.*"", """")"),"lepoint.fr")</f>
        <v>lepoint.fr</v>
      </c>
      <c r="C77" s="1" t="s">
        <v>8</v>
      </c>
      <c r="D77" s="1">
        <v>10.0</v>
      </c>
      <c r="E77" s="1" t="s">
        <v>121</v>
      </c>
      <c r="F77" s="1" t="s">
        <v>10</v>
      </c>
      <c r="G77" s="5">
        <f t="array" ref="G77">XLOOKUP(B77,LFinder!A:A,LFinder!B:B,"absent des plateformes")</f>
        <v>630</v>
      </c>
    </row>
    <row r="78">
      <c r="A78" s="3" t="s">
        <v>122</v>
      </c>
      <c r="B78" s="4" t="str">
        <f>IFERROR(__xludf.DUMMYFUNCTION("REGEXREPLACE(A78, ""^https?://(www\.)?|/.*"", """")"),"lepoint.fr")</f>
        <v>lepoint.fr</v>
      </c>
      <c r="C78" s="1" t="s">
        <v>8</v>
      </c>
      <c r="D78" s="1">
        <v>6.0</v>
      </c>
      <c r="E78" s="1" t="s">
        <v>123</v>
      </c>
      <c r="F78" s="1" t="s">
        <v>10</v>
      </c>
      <c r="G78" s="5">
        <f t="array" ref="G78">XLOOKUP(B78,LFinder!A:A,LFinder!B:B,"absent des plateformes")</f>
        <v>630</v>
      </c>
    </row>
    <row r="79">
      <c r="A79" s="3" t="s">
        <v>124</v>
      </c>
      <c r="B79" s="4" t="str">
        <f>IFERROR(__xludf.DUMMYFUNCTION("REGEXREPLACE(A79, ""^https?://(www\.)?|/.*"", """")"),"lepoint.fr")</f>
        <v>lepoint.fr</v>
      </c>
      <c r="C79" s="1" t="s">
        <v>8</v>
      </c>
      <c r="D79" s="1">
        <v>2.0</v>
      </c>
      <c r="E79" s="1" t="s">
        <v>56</v>
      </c>
      <c r="F79" s="1" t="s">
        <v>10</v>
      </c>
      <c r="G79" s="5">
        <f t="array" ref="G79">XLOOKUP(B79,LFinder!A:A,LFinder!B:B,"absent des plateformes")</f>
        <v>630</v>
      </c>
    </row>
    <row r="80">
      <c r="A80" s="3" t="s">
        <v>125</v>
      </c>
      <c r="B80" s="4" t="str">
        <f>IFERROR(__xludf.DUMMYFUNCTION("REGEXREPLACE(A80, ""^https?://(www\.)?|/.*"", """")"),"bourseinside.fr")</f>
        <v>bourseinside.fr</v>
      </c>
      <c r="C80" s="1" t="s">
        <v>8</v>
      </c>
      <c r="D80" s="1">
        <v>2.0</v>
      </c>
      <c r="E80" s="1" t="s">
        <v>126</v>
      </c>
      <c r="F80" s="1" t="s">
        <v>10</v>
      </c>
      <c r="G80" s="5">
        <f t="array" ref="G80">XLOOKUP(B80,LFinder!A:A,LFinder!B:B,"absent des plateformes")</f>
        <v>643</v>
      </c>
    </row>
    <row r="81">
      <c r="A81" s="3" t="s">
        <v>127</v>
      </c>
      <c r="B81" s="4" t="str">
        <f>IFERROR(__xludf.DUMMYFUNCTION("REGEXREPLACE(A81, ""^https?://(www\.)?|/.*"", """")"),"connectbanque.com")</f>
        <v>connectbanque.com</v>
      </c>
      <c r="C81" s="1" t="s">
        <v>8</v>
      </c>
      <c r="D81" s="1">
        <v>3.0</v>
      </c>
      <c r="E81" s="1" t="s">
        <v>82</v>
      </c>
      <c r="F81" s="1" t="s">
        <v>54</v>
      </c>
      <c r="G81" s="5">
        <f t="array" ref="G81">XLOOKUP(B81,LFinder!A:A,LFinder!B:B,"absent des plateformes")</f>
        <v>651</v>
      </c>
    </row>
    <row r="82">
      <c r="A82" s="3" t="s">
        <v>128</v>
      </c>
      <c r="B82" s="4" t="str">
        <f>IFERROR(__xludf.DUMMYFUNCTION("REGEXREPLACE(A82, ""^https?://(www\.)?|/.*"", """")"),"connectbanque.com")</f>
        <v>connectbanque.com</v>
      </c>
      <c r="C82" s="1" t="s">
        <v>8</v>
      </c>
      <c r="D82" s="1">
        <v>1.0</v>
      </c>
      <c r="E82" s="1" t="s">
        <v>129</v>
      </c>
      <c r="F82" s="1" t="s">
        <v>54</v>
      </c>
      <c r="G82" s="5">
        <f t="array" ref="G82">XLOOKUP(B82,LFinder!A:A,LFinder!B:B,"absent des plateformes")</f>
        <v>651</v>
      </c>
    </row>
    <row r="83">
      <c r="A83" s="3" t="s">
        <v>130</v>
      </c>
      <c r="B83" s="4" t="str">
        <f>IFERROR(__xludf.DUMMYFUNCTION("REGEXREPLACE(A83, ""^https?://(www\.)?|/.*"", """")"),"connectbanque.com")</f>
        <v>connectbanque.com</v>
      </c>
      <c r="C83" s="1" t="s">
        <v>8</v>
      </c>
      <c r="D83" s="1">
        <v>1.0</v>
      </c>
      <c r="E83" s="1" t="s">
        <v>56</v>
      </c>
      <c r="F83" s="1" t="s">
        <v>54</v>
      </c>
      <c r="G83" s="5">
        <f t="array" ref="G83">XLOOKUP(B83,LFinder!A:A,LFinder!B:B,"absent des plateformes")</f>
        <v>651</v>
      </c>
    </row>
    <row r="84">
      <c r="A84" s="3" t="s">
        <v>131</v>
      </c>
      <c r="B84" s="4" t="str">
        <f>IFERROR(__xludf.DUMMYFUNCTION("REGEXREPLACE(A84, ""^https?://(www\.)?|/.*"", """")"),"connectbanque.com")</f>
        <v>connectbanque.com</v>
      </c>
      <c r="C84" s="1" t="s">
        <v>8</v>
      </c>
      <c r="D84" s="1">
        <v>1.0</v>
      </c>
      <c r="E84" s="1" t="s">
        <v>16</v>
      </c>
      <c r="F84" s="1" t="s">
        <v>54</v>
      </c>
      <c r="G84" s="5">
        <f t="array" ref="G84">XLOOKUP(B84,LFinder!A:A,LFinder!B:B,"absent des plateformes")</f>
        <v>651</v>
      </c>
    </row>
    <row r="85">
      <c r="A85" s="3" t="s">
        <v>132</v>
      </c>
      <c r="B85" s="4" t="str">
        <f>IFERROR(__xludf.DUMMYFUNCTION("REGEXREPLACE(A85, ""^https?://(www\.)?|/.*"", """")"),"decision-achats.fr")</f>
        <v>decision-achats.fr</v>
      </c>
      <c r="C85" s="1" t="s">
        <v>8</v>
      </c>
      <c r="D85" s="1">
        <v>1.0</v>
      </c>
      <c r="E85" s="1" t="s">
        <v>36</v>
      </c>
      <c r="F85" s="1" t="s">
        <v>10</v>
      </c>
      <c r="G85" s="5">
        <f t="array" ref="G85">XLOOKUP(B85,LFinder!A:A,LFinder!B:B,"absent des plateformes")</f>
        <v>694</v>
      </c>
    </row>
    <row r="86">
      <c r="A86" s="3" t="s">
        <v>133</v>
      </c>
      <c r="B86" s="4" t="str">
        <f>IFERROR(__xludf.DUMMYFUNCTION("REGEXREPLACE(A86, ""^https?://(www\.)?|/.*"", """")"),"beaboss.fr")</f>
        <v>beaboss.fr</v>
      </c>
      <c r="C86" s="1" t="s">
        <v>8</v>
      </c>
      <c r="D86" s="1">
        <v>1.0</v>
      </c>
      <c r="E86" s="1" t="s">
        <v>12</v>
      </c>
      <c r="F86" s="1" t="s">
        <v>10</v>
      </c>
      <c r="G86" s="5">
        <f t="array" ref="G86">XLOOKUP(B86,LFinder!A:A,LFinder!B:B,"absent des plateformes")</f>
        <v>694</v>
      </c>
    </row>
    <row r="87">
      <c r="A87" s="3" t="s">
        <v>134</v>
      </c>
      <c r="B87" s="4" t="str">
        <f>IFERROR(__xludf.DUMMYFUNCTION("REGEXREPLACE(A87, ""^https?://(www\.)?|/.*"", """")"),"habitatpresto.com")</f>
        <v>habitatpresto.com</v>
      </c>
      <c r="C87" s="1" t="s">
        <v>8</v>
      </c>
      <c r="D87" s="1">
        <v>1.0</v>
      </c>
      <c r="E87" s="1" t="s">
        <v>66</v>
      </c>
      <c r="F87" s="1" t="s">
        <v>54</v>
      </c>
      <c r="G87" s="5">
        <f t="array" ref="G87">XLOOKUP(B87,LFinder!A:A,LFinder!B:B,"absent des plateformes")</f>
        <v>863</v>
      </c>
    </row>
    <row r="88">
      <c r="A88" s="3" t="s">
        <v>135</v>
      </c>
      <c r="B88" s="4" t="str">
        <f>IFERROR(__xludf.DUMMYFUNCTION("REGEXREPLACE(A88, ""^https?://(www\.)?|/.*"", """")"),"francetransactions.com")</f>
        <v>francetransactions.com</v>
      </c>
      <c r="C88" s="1" t="s">
        <v>8</v>
      </c>
      <c r="D88" s="1">
        <v>3.0</v>
      </c>
      <c r="E88" s="1" t="s">
        <v>126</v>
      </c>
      <c r="F88" s="1" t="s">
        <v>10</v>
      </c>
      <c r="G88" s="5">
        <f t="array" ref="G88">XLOOKUP(B88,LFinder!A:A,LFinder!B:B,"absent des plateformes")</f>
        <v>924</v>
      </c>
    </row>
    <row r="89">
      <c r="A89" s="3" t="s">
        <v>136</v>
      </c>
      <c r="B89" s="4" t="str">
        <f>IFERROR(__xludf.DUMMYFUNCTION("REGEXREPLACE(A89, ""^https?://(www\.)?|/.*"", """")"),"francetransactions.com")</f>
        <v>francetransactions.com</v>
      </c>
      <c r="C89" s="1" t="s">
        <v>8</v>
      </c>
      <c r="D89" s="1">
        <v>3.0</v>
      </c>
      <c r="E89" s="1" t="s">
        <v>126</v>
      </c>
      <c r="F89" s="1" t="s">
        <v>10</v>
      </c>
      <c r="G89" s="5">
        <f t="array" ref="G89">XLOOKUP(B89,LFinder!A:A,LFinder!B:B,"absent des plateformes")</f>
        <v>924</v>
      </c>
    </row>
    <row r="90">
      <c r="A90" s="3" t="s">
        <v>137</v>
      </c>
      <c r="B90" s="4" t="str">
        <f>IFERROR(__xludf.DUMMYFUNCTION("REGEXREPLACE(A90, ""^https?://(www\.)?|/.*"", """")"),"compta-online.com")</f>
        <v>compta-online.com</v>
      </c>
      <c r="C90" s="1" t="s">
        <v>8</v>
      </c>
      <c r="D90" s="1">
        <v>3.0</v>
      </c>
      <c r="E90" s="1" t="s">
        <v>66</v>
      </c>
      <c r="F90" s="1" t="s">
        <v>54</v>
      </c>
      <c r="G90" s="5">
        <f t="array" ref="G90">XLOOKUP(B90,LFinder!A:A,LFinder!B:B,"absent des plateformes")</f>
        <v>930</v>
      </c>
    </row>
    <row r="91">
      <c r="A91" s="3" t="s">
        <v>138</v>
      </c>
      <c r="B91" s="4" t="str">
        <f>IFERROR(__xludf.DUMMYFUNCTION("REGEXREPLACE(A91, ""^https?://(www\.)?|/.*"", """")"),"compta-online.com")</f>
        <v>compta-online.com</v>
      </c>
      <c r="C91" s="1" t="s">
        <v>8</v>
      </c>
      <c r="D91" s="1">
        <v>1.0</v>
      </c>
      <c r="E91" s="1" t="s">
        <v>98</v>
      </c>
      <c r="F91" s="1" t="s">
        <v>10</v>
      </c>
      <c r="G91" s="5">
        <f t="array" ref="G91">XLOOKUP(B91,LFinder!A:A,LFinder!B:B,"absent des plateformes")</f>
        <v>930</v>
      </c>
    </row>
    <row r="92">
      <c r="A92" s="3" t="s">
        <v>139</v>
      </c>
      <c r="B92" s="4" t="str">
        <f>IFERROR(__xludf.DUMMYFUNCTION("REGEXREPLACE(A92, ""^https?://(www\.)?|/.*"", """")"),"compta-online.com")</f>
        <v>compta-online.com</v>
      </c>
      <c r="C92" s="1" t="s">
        <v>8</v>
      </c>
      <c r="D92" s="1">
        <v>1.0</v>
      </c>
      <c r="E92" s="1" t="s">
        <v>66</v>
      </c>
      <c r="F92" s="1" t="s">
        <v>54</v>
      </c>
      <c r="G92" s="5">
        <f t="array" ref="G92">XLOOKUP(B92,LFinder!A:A,LFinder!B:B,"absent des plateformes")</f>
        <v>930</v>
      </c>
    </row>
    <row r="93">
      <c r="A93" s="3" t="s">
        <v>140</v>
      </c>
      <c r="B93" s="4" t="str">
        <f>IFERROR(__xludf.DUMMYFUNCTION("REGEXREPLACE(A93, ""^https?://(www\.)?|/.*"", """")"),"compta-online.com")</f>
        <v>compta-online.com</v>
      </c>
      <c r="C93" s="1" t="s">
        <v>8</v>
      </c>
      <c r="D93" s="1">
        <v>1.0</v>
      </c>
      <c r="E93" s="1" t="s">
        <v>43</v>
      </c>
      <c r="F93" s="1" t="s">
        <v>10</v>
      </c>
      <c r="G93" s="5">
        <f t="array" ref="G93">XLOOKUP(B93,LFinder!A:A,LFinder!B:B,"absent des plateformes")</f>
        <v>930</v>
      </c>
    </row>
    <row r="94">
      <c r="A94" s="3" t="s">
        <v>141</v>
      </c>
      <c r="B94" s="4" t="str">
        <f>IFERROR(__xludf.DUMMYFUNCTION("REGEXREPLACE(A94, ""^https?://(www\.)?|/.*"", """")"),"itsocial.fr")</f>
        <v>itsocial.fr</v>
      </c>
      <c r="C94" s="1" t="s">
        <v>8</v>
      </c>
      <c r="D94" s="1">
        <v>1.0</v>
      </c>
      <c r="E94" s="1" t="s">
        <v>91</v>
      </c>
      <c r="F94" s="1" t="s">
        <v>10</v>
      </c>
      <c r="G94" s="5">
        <f t="array" ref="G94">XLOOKUP(B94,LFinder!A:A,LFinder!B:B,"absent des plateformes")</f>
        <v>1042</v>
      </c>
    </row>
    <row r="95">
      <c r="A95" s="3" t="s">
        <v>142</v>
      </c>
      <c r="B95" s="4" t="str">
        <f>IFERROR(__xludf.DUMMYFUNCTION("REGEXREPLACE(A95, ""^https?://(www\.)?|/.*"", """")"),"europages.fr")</f>
        <v>europages.fr</v>
      </c>
      <c r="C95" s="1" t="s">
        <v>8</v>
      </c>
      <c r="D95" s="1">
        <v>1.0</v>
      </c>
      <c r="E95" s="1" t="s">
        <v>47</v>
      </c>
      <c r="F95" s="1" t="s">
        <v>10</v>
      </c>
      <c r="G95" s="5">
        <f t="array" ref="G95">XLOOKUP(B95,LFinder!A:A,LFinder!B:B,"absent des plateformes")</f>
        <v>1054</v>
      </c>
    </row>
    <row r="96">
      <c r="A96" s="3" t="s">
        <v>143</v>
      </c>
      <c r="B96" s="4" t="str">
        <f>IFERROR(__xludf.DUMMYFUNCTION("REGEXREPLACE(A96, ""^https?://(www\.)?|/.*"", """")"),"lafabriquedunet.fr")</f>
        <v>lafabriquedunet.fr</v>
      </c>
      <c r="C96" s="1" t="s">
        <v>8</v>
      </c>
      <c r="D96" s="1">
        <v>2.0</v>
      </c>
      <c r="E96" s="1" t="s">
        <v>12</v>
      </c>
      <c r="F96" s="1" t="s">
        <v>10</v>
      </c>
      <c r="G96" s="5">
        <f t="array" ref="G96">XLOOKUP(B96,LFinder!A:A,LFinder!B:B,"absent des plateformes")</f>
        <v>1130</v>
      </c>
    </row>
    <row r="97">
      <c r="A97" s="3" t="s">
        <v>144</v>
      </c>
      <c r="B97" s="4" t="str">
        <f>IFERROR(__xludf.DUMMYFUNCTION("REGEXREPLACE(A97, ""^https?://(www\.)?|/.*"", """")"),"lafabriquedunet.fr")</f>
        <v>lafabriquedunet.fr</v>
      </c>
      <c r="C97" s="1" t="s">
        <v>8</v>
      </c>
      <c r="D97" s="1">
        <v>1.0</v>
      </c>
      <c r="E97" s="1" t="s">
        <v>45</v>
      </c>
      <c r="F97" s="1" t="s">
        <v>10</v>
      </c>
      <c r="G97" s="5">
        <f t="array" ref="G97">XLOOKUP(B97,LFinder!A:A,LFinder!B:B,"absent des plateformes")</f>
        <v>1130</v>
      </c>
    </row>
    <row r="98">
      <c r="A98" s="3" t="s">
        <v>145</v>
      </c>
      <c r="B98" s="4" t="str">
        <f>IFERROR(__xludf.DUMMYFUNCTION("REGEXREPLACE(A98, ""^https?://(www\.)?|/.*"", """")"),"lafabriquedunet.fr")</f>
        <v>lafabriquedunet.fr</v>
      </c>
      <c r="C98" s="1" t="s">
        <v>8</v>
      </c>
      <c r="D98" s="1">
        <v>1.0</v>
      </c>
      <c r="E98" s="1" t="s">
        <v>12</v>
      </c>
      <c r="F98" s="1" t="s">
        <v>10</v>
      </c>
      <c r="G98" s="5">
        <f t="array" ref="G98">XLOOKUP(B98,LFinder!A:A,LFinder!B:B,"absent des plateformes")</f>
        <v>1130</v>
      </c>
    </row>
    <row r="99">
      <c r="A99" s="3" t="s">
        <v>146</v>
      </c>
      <c r="B99" s="4" t="str">
        <f>IFERROR(__xludf.DUMMYFUNCTION("REGEXREPLACE(A99, ""^https?://(www\.)?|/.*"", """")"),"maddyness.com")</f>
        <v>maddyness.com</v>
      </c>
      <c r="C99" s="1" t="s">
        <v>50</v>
      </c>
      <c r="D99" s="1">
        <v>1.0</v>
      </c>
      <c r="E99" s="1" t="s">
        <v>51</v>
      </c>
      <c r="F99" s="1" t="s">
        <v>10</v>
      </c>
      <c r="G99" s="5">
        <f t="array" ref="G99">XLOOKUP(B99,LFinder!A:A,LFinder!B:B,"absent des plateformes")</f>
        <v>1180</v>
      </c>
    </row>
    <row r="100">
      <c r="A100" s="3" t="s">
        <v>147</v>
      </c>
      <c r="B100" s="4" t="str">
        <f>IFERROR(__xludf.DUMMYFUNCTION("REGEXREPLACE(A100, ""^https?://(www\.)?|/.*"", """")"),"panorabanques.com")</f>
        <v>panorabanques.com</v>
      </c>
      <c r="C100" s="1" t="s">
        <v>8</v>
      </c>
      <c r="D100" s="1">
        <v>1.0</v>
      </c>
      <c r="E100" s="1" t="s">
        <v>51</v>
      </c>
      <c r="F100" s="1" t="s">
        <v>54</v>
      </c>
      <c r="G100" s="5">
        <f t="array" ref="G100">XLOOKUP(B100,LFinder!A:A,LFinder!B:B,"absent des plateformes")</f>
        <v>1193</v>
      </c>
    </row>
    <row r="101">
      <c r="A101" s="3" t="s">
        <v>148</v>
      </c>
      <c r="B101" s="4" t="str">
        <f>IFERROR(__xludf.DUMMYFUNCTION("REGEXREPLACE(A101, ""^https?://(www\.)?|/.*"", """")"),"baticopro.com")</f>
        <v>baticopro.com</v>
      </c>
      <c r="C101" s="1" t="s">
        <v>50</v>
      </c>
      <c r="D101" s="1">
        <v>1.0</v>
      </c>
      <c r="E101" s="1" t="s">
        <v>51</v>
      </c>
      <c r="F101" s="1" t="s">
        <v>10</v>
      </c>
      <c r="G101" s="5">
        <f t="array" ref="G101">XLOOKUP(B101,LFinder!A:A,LFinder!B:B,"absent des plateformes")</f>
        <v>1210</v>
      </c>
    </row>
    <row r="102">
      <c r="A102" s="3" t="s">
        <v>149</v>
      </c>
      <c r="B102" s="4" t="str">
        <f>IFERROR(__xludf.DUMMYFUNCTION("REGEXREPLACE(A102, ""^https?://(www\.)?|/.*"", """")"),"pappers.fr")</f>
        <v>pappers.fr</v>
      </c>
      <c r="C102" s="1" t="s">
        <v>8</v>
      </c>
      <c r="D102" s="1">
        <v>3.0</v>
      </c>
      <c r="E102" s="1" t="s">
        <v>51</v>
      </c>
      <c r="F102" s="1" t="s">
        <v>10</v>
      </c>
      <c r="G102" s="5">
        <f t="array" ref="G102">XLOOKUP(B102,LFinder!A:A,LFinder!B:B,"absent des plateformes")</f>
        <v>1218</v>
      </c>
    </row>
    <row r="103">
      <c r="A103" s="3" t="s">
        <v>150</v>
      </c>
      <c r="B103" s="4" t="str">
        <f>IFERROR(__xludf.DUMMYFUNCTION("REGEXREPLACE(A103, ""^https?://(www\.)?|/.*"", """")"),"tool-advisor.fr")</f>
        <v>tool-advisor.fr</v>
      </c>
      <c r="C103" s="1" t="s">
        <v>8</v>
      </c>
      <c r="D103" s="1">
        <v>4.0</v>
      </c>
      <c r="E103" s="1" t="s">
        <v>151</v>
      </c>
      <c r="F103" s="1" t="s">
        <v>54</v>
      </c>
      <c r="G103" s="5">
        <f t="array" ref="G103">XLOOKUP(B103,LFinder!A:A,LFinder!B:B,"absent des plateformes")</f>
        <v>1386</v>
      </c>
    </row>
    <row r="104">
      <c r="A104" s="3" t="s">
        <v>152</v>
      </c>
      <c r="B104" s="4" t="str">
        <f>IFERROR(__xludf.DUMMYFUNCTION("REGEXREPLACE(A104, ""^https?://(www\.)?|/.*"", """")"),"tool-advisor.fr")</f>
        <v>tool-advisor.fr</v>
      </c>
      <c r="C104" s="1" t="s">
        <v>8</v>
      </c>
      <c r="D104" s="1">
        <v>4.0</v>
      </c>
      <c r="E104" s="1" t="s">
        <v>59</v>
      </c>
      <c r="F104" s="1" t="s">
        <v>10</v>
      </c>
      <c r="G104" s="5">
        <f t="array" ref="G104">XLOOKUP(B104,LFinder!A:A,LFinder!B:B,"absent des plateformes")</f>
        <v>1386</v>
      </c>
    </row>
    <row r="105">
      <c r="A105" s="3" t="s">
        <v>153</v>
      </c>
      <c r="B105" s="4" t="str">
        <f>IFERROR(__xludf.DUMMYFUNCTION("REGEXREPLACE(A105, ""^https?://(www\.)?|/.*"", """")"),"tool-advisor.fr")</f>
        <v>tool-advisor.fr</v>
      </c>
      <c r="C105" s="1" t="s">
        <v>8</v>
      </c>
      <c r="D105" s="1">
        <v>3.0</v>
      </c>
      <c r="E105" s="1" t="s">
        <v>9</v>
      </c>
      <c r="F105" s="1" t="s">
        <v>10</v>
      </c>
      <c r="G105" s="5">
        <f t="array" ref="G105">XLOOKUP(B105,LFinder!A:A,LFinder!B:B,"absent des plateformes")</f>
        <v>1386</v>
      </c>
    </row>
    <row r="106">
      <c r="A106" s="3" t="s">
        <v>154</v>
      </c>
      <c r="B106" s="4" t="str">
        <f>IFERROR(__xludf.DUMMYFUNCTION("REGEXREPLACE(A106, ""^https?://(www\.)?|/.*"", """")"),"tool-advisor.fr")</f>
        <v>tool-advisor.fr</v>
      </c>
      <c r="C106" s="1" t="s">
        <v>8</v>
      </c>
      <c r="D106" s="1">
        <v>1.0</v>
      </c>
      <c r="E106" s="1" t="s">
        <v>91</v>
      </c>
      <c r="F106" s="1" t="s">
        <v>10</v>
      </c>
      <c r="G106" s="5">
        <f t="array" ref="G106">XLOOKUP(B106,LFinder!A:A,LFinder!B:B,"absent des plateformes")</f>
        <v>1386</v>
      </c>
    </row>
    <row r="107">
      <c r="A107" s="3" t="s">
        <v>155</v>
      </c>
      <c r="B107" s="4" t="str">
        <f>IFERROR(__xludf.DUMMYFUNCTION("REGEXREPLACE(A107, ""^https?://(www\.)?|/.*"", """")"),"tool-advisor.fr")</f>
        <v>tool-advisor.fr</v>
      </c>
      <c r="C107" s="1" t="s">
        <v>8</v>
      </c>
      <c r="D107" s="1">
        <v>1.0</v>
      </c>
      <c r="E107" s="1" t="s">
        <v>16</v>
      </c>
      <c r="F107" s="1" t="s">
        <v>10</v>
      </c>
      <c r="G107" s="5">
        <f t="array" ref="G107">XLOOKUP(B107,LFinder!A:A,LFinder!B:B,"absent des plateformes")</f>
        <v>1386</v>
      </c>
    </row>
    <row r="108">
      <c r="A108" s="3" t="s">
        <v>156</v>
      </c>
      <c r="B108" s="4" t="str">
        <f>IFERROR(__xludf.DUMMYFUNCTION("REGEXREPLACE(A108, ""^https?://(www\.)?|/.*"", """")"),"tool-advisor.fr")</f>
        <v>tool-advisor.fr</v>
      </c>
      <c r="C108" s="1" t="s">
        <v>8</v>
      </c>
      <c r="D108" s="1">
        <v>1.0</v>
      </c>
      <c r="E108" s="1" t="s">
        <v>12</v>
      </c>
      <c r="F108" s="1" t="s">
        <v>10</v>
      </c>
      <c r="G108" s="5">
        <f t="array" ref="G108">XLOOKUP(B108,LFinder!A:A,LFinder!B:B,"absent des plateformes")</f>
        <v>1386</v>
      </c>
    </row>
    <row r="109">
      <c r="A109" s="3" t="s">
        <v>157</v>
      </c>
      <c r="B109" s="4" t="str">
        <f>IFERROR(__xludf.DUMMYFUNCTION("REGEXREPLACE(A109, ""^https?://(www\.)?|/.*"", """")"),"bfmtv.com")</f>
        <v>bfmtv.com</v>
      </c>
      <c r="C109" s="1" t="s">
        <v>8</v>
      </c>
      <c r="D109" s="1">
        <v>1.0</v>
      </c>
      <c r="E109" s="1" t="s">
        <v>14</v>
      </c>
      <c r="F109" s="1" t="s">
        <v>10</v>
      </c>
      <c r="G109" s="5">
        <f t="array" ref="G109">XLOOKUP(B109,LFinder!A:A,LFinder!B:B,"absent des plateformes")</f>
        <v>2000</v>
      </c>
    </row>
    <row r="110">
      <c r="A110" s="3" t="s">
        <v>158</v>
      </c>
      <c r="B110" s="4" t="str">
        <f>IFERROR(__xludf.DUMMYFUNCTION("REGEXREPLACE(A110, ""^https?://(www\.)?|/.*"", """")"),"leparticulier.lefigaro.fr")</f>
        <v>leparticulier.lefigaro.fr</v>
      </c>
      <c r="C110" s="1" t="s">
        <v>8</v>
      </c>
      <c r="D110" s="1">
        <v>1.0</v>
      </c>
      <c r="E110" s="1" t="s">
        <v>61</v>
      </c>
      <c r="F110" s="1" t="s">
        <v>10</v>
      </c>
      <c r="G110" s="5">
        <f t="array" ref="G110">XLOOKUP(B110,LFinder!A:A,LFinder!B:B,"absent des plateformes")</f>
        <v>2250</v>
      </c>
    </row>
    <row r="111">
      <c r="A111" s="3" t="s">
        <v>159</v>
      </c>
      <c r="B111" s="4" t="str">
        <f>IFERROR(__xludf.DUMMYFUNCTION("REGEXREPLACE(A111, ""^https?://(www\.)?|/.*"", """")"),"moneyvox.fr")</f>
        <v>moneyvox.fr</v>
      </c>
      <c r="C111" s="1" t="s">
        <v>8</v>
      </c>
      <c r="D111" s="1">
        <v>14.0</v>
      </c>
      <c r="E111" s="1" t="s">
        <v>160</v>
      </c>
      <c r="F111" s="1" t="s">
        <v>54</v>
      </c>
      <c r="G111" s="5">
        <f t="array" ref="G111">XLOOKUP(B111,LFinder!A:A,LFinder!B:B,"absent des plateformes")</f>
        <v>2431</v>
      </c>
    </row>
    <row r="112">
      <c r="A112" s="3" t="s">
        <v>161</v>
      </c>
      <c r="B112" s="4" t="str">
        <f>IFERROR(__xludf.DUMMYFUNCTION("REGEXREPLACE(A112, ""^https?://(www\.)?|/.*"", """")"),"moneyvox.fr")</f>
        <v>moneyvox.fr</v>
      </c>
      <c r="C112" s="1" t="s">
        <v>8</v>
      </c>
      <c r="D112" s="1">
        <v>8.0</v>
      </c>
      <c r="E112" s="1" t="s">
        <v>160</v>
      </c>
      <c r="F112" s="1" t="s">
        <v>54</v>
      </c>
      <c r="G112" s="5">
        <f t="array" ref="G112">XLOOKUP(B112,LFinder!A:A,LFinder!B:B,"absent des plateformes")</f>
        <v>2431</v>
      </c>
    </row>
    <row r="113">
      <c r="A113" s="3" t="s">
        <v>162</v>
      </c>
      <c r="B113" s="4" t="str">
        <f>IFERROR(__xludf.DUMMYFUNCTION("REGEXREPLACE(A113, ""^https?://(www\.)?|/.*"", """")"),"moneyvox.fr")</f>
        <v>moneyvox.fr</v>
      </c>
      <c r="C113" s="1" t="s">
        <v>8</v>
      </c>
      <c r="D113" s="1">
        <v>5.0</v>
      </c>
      <c r="E113" s="1" t="s">
        <v>163</v>
      </c>
      <c r="F113" s="1" t="s">
        <v>54</v>
      </c>
      <c r="G113" s="5">
        <f t="array" ref="G113">XLOOKUP(B113,LFinder!A:A,LFinder!B:B,"absent des plateformes")</f>
        <v>2431</v>
      </c>
    </row>
    <row r="114">
      <c r="A114" s="3" t="s">
        <v>164</v>
      </c>
      <c r="B114" s="4" t="str">
        <f>IFERROR(__xludf.DUMMYFUNCTION("REGEXREPLACE(A114, ""^https?://(www\.)?|/.*"", """")"),"moneyvox.fr")</f>
        <v>moneyvox.fr</v>
      </c>
      <c r="C114" s="1" t="s">
        <v>8</v>
      </c>
      <c r="D114" s="1">
        <v>5.0</v>
      </c>
      <c r="E114" s="1" t="s">
        <v>165</v>
      </c>
      <c r="F114" s="1" t="s">
        <v>54</v>
      </c>
      <c r="G114" s="5">
        <f t="array" ref="G114">XLOOKUP(B114,LFinder!A:A,LFinder!B:B,"absent des plateformes")</f>
        <v>2431</v>
      </c>
    </row>
    <row r="115">
      <c r="A115" s="3" t="s">
        <v>166</v>
      </c>
      <c r="B115" s="4" t="str">
        <f>IFERROR(__xludf.DUMMYFUNCTION("REGEXREPLACE(A115, ""^https?://(www\.)?|/.*"", """")"),"moneyvox.fr")</f>
        <v>moneyvox.fr</v>
      </c>
      <c r="C115" s="1" t="s">
        <v>8</v>
      </c>
      <c r="D115" s="1">
        <v>4.0</v>
      </c>
      <c r="E115" s="1" t="s">
        <v>126</v>
      </c>
      <c r="F115" s="1" t="s">
        <v>54</v>
      </c>
      <c r="G115" s="5">
        <f t="array" ref="G115">XLOOKUP(B115,LFinder!A:A,LFinder!B:B,"absent des plateformes")</f>
        <v>2431</v>
      </c>
    </row>
    <row r="116">
      <c r="A116" s="3" t="s">
        <v>167</v>
      </c>
      <c r="B116" s="4" t="str">
        <f>IFERROR(__xludf.DUMMYFUNCTION("REGEXREPLACE(A116, ""^https?://(www\.)?|/.*"", """")"),"moneyvox.fr")</f>
        <v>moneyvox.fr</v>
      </c>
      <c r="C116" s="1" t="s">
        <v>8</v>
      </c>
      <c r="D116" s="1">
        <v>4.0</v>
      </c>
      <c r="E116" s="1" t="s">
        <v>168</v>
      </c>
      <c r="F116" s="1" t="s">
        <v>10</v>
      </c>
      <c r="G116" s="5">
        <f t="array" ref="G116">XLOOKUP(B116,LFinder!A:A,LFinder!B:B,"absent des plateformes")</f>
        <v>2431</v>
      </c>
    </row>
    <row r="117">
      <c r="A117" s="3" t="s">
        <v>169</v>
      </c>
      <c r="B117" s="4" t="str">
        <f>IFERROR(__xludf.DUMMYFUNCTION("REGEXREPLACE(A117, ""^https?://(www\.)?|/.*"", """")"),"moneyvox.fr")</f>
        <v>moneyvox.fr</v>
      </c>
      <c r="C117" s="1" t="s">
        <v>8</v>
      </c>
      <c r="D117" s="1">
        <v>3.0</v>
      </c>
      <c r="E117" s="1" t="s">
        <v>126</v>
      </c>
      <c r="F117" s="1" t="s">
        <v>10</v>
      </c>
      <c r="G117" s="5">
        <f t="array" ref="G117">XLOOKUP(B117,LFinder!A:A,LFinder!B:B,"absent des plateformes")</f>
        <v>2431</v>
      </c>
    </row>
    <row r="118">
      <c r="A118" s="3" t="s">
        <v>170</v>
      </c>
      <c r="B118" s="4" t="str">
        <f>IFERROR(__xludf.DUMMYFUNCTION("REGEXREPLACE(A118, ""^https?://(www\.)?|/.*"", """")"),"moneyvox.fr")</f>
        <v>moneyvox.fr</v>
      </c>
      <c r="C118" s="1" t="s">
        <v>8</v>
      </c>
      <c r="D118" s="1">
        <v>3.0</v>
      </c>
      <c r="E118" s="1" t="s">
        <v>171</v>
      </c>
      <c r="F118" s="1" t="s">
        <v>54</v>
      </c>
      <c r="G118" s="5">
        <f t="array" ref="G118">XLOOKUP(B118,LFinder!A:A,LFinder!B:B,"absent des plateformes")</f>
        <v>2431</v>
      </c>
    </row>
    <row r="119">
      <c r="A119" s="3" t="s">
        <v>172</v>
      </c>
      <c r="B119" s="4" t="str">
        <f>IFERROR(__xludf.DUMMYFUNCTION("REGEXREPLACE(A119, ""^https?://(www\.)?|/.*"", """")"),"moneyvox.fr")</f>
        <v>moneyvox.fr</v>
      </c>
      <c r="C119" s="1" t="s">
        <v>8</v>
      </c>
      <c r="D119" s="1">
        <v>2.0</v>
      </c>
      <c r="E119" s="1" t="s">
        <v>56</v>
      </c>
      <c r="F119" s="1" t="s">
        <v>54</v>
      </c>
      <c r="G119" s="5">
        <f t="array" ref="G119">XLOOKUP(B119,LFinder!A:A,LFinder!B:B,"absent des plateformes")</f>
        <v>2431</v>
      </c>
    </row>
    <row r="120">
      <c r="A120" s="3" t="s">
        <v>173</v>
      </c>
      <c r="B120" s="4" t="str">
        <f>IFERROR(__xludf.DUMMYFUNCTION("REGEXREPLACE(A120, ""^https?://(www\.)?|/.*"", """")"),"moneyvox.fr")</f>
        <v>moneyvox.fr</v>
      </c>
      <c r="C120" s="1" t="s">
        <v>8</v>
      </c>
      <c r="D120" s="1">
        <v>1.0</v>
      </c>
      <c r="E120" s="1" t="s">
        <v>174</v>
      </c>
      <c r="F120" s="1" t="s">
        <v>54</v>
      </c>
      <c r="G120" s="5">
        <f t="array" ref="G120">XLOOKUP(B120,LFinder!A:A,LFinder!B:B,"absent des plateformes")</f>
        <v>2431</v>
      </c>
    </row>
    <row r="121">
      <c r="A121" s="3" t="s">
        <v>175</v>
      </c>
      <c r="B121" s="4" t="str">
        <f>IFERROR(__xludf.DUMMYFUNCTION("REGEXREPLACE(A121, ""^https?://(www\.)?|/.*"", """")"),"moneyvox.fr")</f>
        <v>moneyvox.fr</v>
      </c>
      <c r="C121" s="1" t="s">
        <v>8</v>
      </c>
      <c r="D121" s="1">
        <v>1.0</v>
      </c>
      <c r="E121" s="1" t="s">
        <v>82</v>
      </c>
      <c r="F121" s="1" t="s">
        <v>54</v>
      </c>
      <c r="G121" s="5">
        <f t="array" ref="G121">XLOOKUP(B121,LFinder!A:A,LFinder!B:B,"absent des plateformes")</f>
        <v>2431</v>
      </c>
    </row>
    <row r="122">
      <c r="A122" s="3" t="s">
        <v>176</v>
      </c>
      <c r="B122" s="4" t="str">
        <f>IFERROR(__xludf.DUMMYFUNCTION("REGEXREPLACE(A122, ""^https?://(www\.)?|/.*"", """")"),"moneyvox.fr")</f>
        <v>moneyvox.fr</v>
      </c>
      <c r="C122" s="1" t="s">
        <v>8</v>
      </c>
      <c r="D122" s="1">
        <v>1.0</v>
      </c>
      <c r="E122" s="1" t="s">
        <v>126</v>
      </c>
      <c r="F122" s="1" t="s">
        <v>54</v>
      </c>
      <c r="G122" s="5">
        <f t="array" ref="G122">XLOOKUP(B122,LFinder!A:A,LFinder!B:B,"absent des plateformes")</f>
        <v>2431</v>
      </c>
    </row>
    <row r="123">
      <c r="A123" s="3" t="s">
        <v>177</v>
      </c>
      <c r="B123" s="4" t="str">
        <f>IFERROR(__xludf.DUMMYFUNCTION("REGEXREPLACE(A123, ""^https?://(www\.)?|/.*"", """")"),"moneyvox.fr")</f>
        <v>moneyvox.fr</v>
      </c>
      <c r="C123" s="1" t="s">
        <v>8</v>
      </c>
      <c r="D123" s="1">
        <v>1.0</v>
      </c>
      <c r="E123" s="1" t="s">
        <v>56</v>
      </c>
      <c r="F123" s="1" t="s">
        <v>54</v>
      </c>
      <c r="G123" s="5">
        <f t="array" ref="G123">XLOOKUP(B123,LFinder!A:A,LFinder!B:B,"absent des plateformes")</f>
        <v>2431</v>
      </c>
    </row>
    <row r="124">
      <c r="A124" s="3" t="s">
        <v>178</v>
      </c>
      <c r="B124" s="4" t="str">
        <f>IFERROR(__xludf.DUMMYFUNCTION("REGEXREPLACE(A124, ""^https?://(www\.)?|/.*"", """")"),"finance-heros.fr")</f>
        <v>finance-heros.fr</v>
      </c>
      <c r="C124" s="1" t="s">
        <v>8</v>
      </c>
      <c r="D124" s="1">
        <v>7.0</v>
      </c>
      <c r="E124" s="1" t="s">
        <v>179</v>
      </c>
      <c r="F124" s="1" t="s">
        <v>54</v>
      </c>
      <c r="G124" s="5">
        <f t="array" ref="G124">XLOOKUP(B124,LFinder!A:A,LFinder!B:B,"absent des plateformes")</f>
        <v>2482</v>
      </c>
    </row>
    <row r="125">
      <c r="A125" s="3" t="s">
        <v>180</v>
      </c>
      <c r="B125" s="4" t="str">
        <f>IFERROR(__xludf.DUMMYFUNCTION("REGEXREPLACE(A125, ""^https?://(www\.)?|/.*"", """")"),"finance-heros.fr")</f>
        <v>finance-heros.fr</v>
      </c>
      <c r="C125" s="1" t="s">
        <v>8</v>
      </c>
      <c r="D125" s="1">
        <v>5.0</v>
      </c>
      <c r="E125" s="1" t="s">
        <v>59</v>
      </c>
      <c r="F125" s="1" t="s">
        <v>54</v>
      </c>
      <c r="G125" s="5">
        <f t="array" ref="G125">XLOOKUP(B125,LFinder!A:A,LFinder!B:B,"absent des plateformes")</f>
        <v>2482</v>
      </c>
    </row>
    <row r="126">
      <c r="A126" s="3" t="s">
        <v>181</v>
      </c>
      <c r="B126" s="4" t="str">
        <f>IFERROR(__xludf.DUMMYFUNCTION("REGEXREPLACE(A126, ""^https?://(www\.)?|/.*"", """")"),"presse-citron.net")</f>
        <v>presse-citron.net</v>
      </c>
      <c r="C126" s="1" t="s">
        <v>8</v>
      </c>
      <c r="D126" s="1">
        <v>4.0</v>
      </c>
      <c r="E126" s="1" t="s">
        <v>182</v>
      </c>
      <c r="F126" s="1" t="s">
        <v>10</v>
      </c>
      <c r="G126" s="5">
        <f t="array" ref="G126">XLOOKUP(B126,LFinder!A:A,LFinder!B:B,"absent des plateformes")</f>
        <v>2650</v>
      </c>
    </row>
    <row r="127">
      <c r="A127" s="3" t="s">
        <v>183</v>
      </c>
      <c r="B127" s="4" t="str">
        <f>IFERROR(__xludf.DUMMYFUNCTION("REGEXREPLACE(A127, ""^https?://(www\.)?|/.*"", """")"),"compta-facile.com")</f>
        <v>compta-facile.com</v>
      </c>
      <c r="C127" s="1" t="s">
        <v>8</v>
      </c>
      <c r="D127" s="1">
        <v>4.0</v>
      </c>
      <c r="E127" s="1" t="s">
        <v>12</v>
      </c>
      <c r="F127" s="1" t="s">
        <v>10</v>
      </c>
      <c r="G127" s="5">
        <f t="array" ref="G127">XLOOKUP(B127,LFinder!A:A,LFinder!B:B,"absent des plateformes")</f>
        <v>3215</v>
      </c>
    </row>
    <row r="128">
      <c r="A128" s="3" t="s">
        <v>184</v>
      </c>
      <c r="B128" s="4" t="str">
        <f>IFERROR(__xludf.DUMMYFUNCTION("REGEXREPLACE(A128, ""^https?://(www\.)?|/.*"", """")"),"compta-facile.com")</f>
        <v>compta-facile.com</v>
      </c>
      <c r="C128" s="1" t="s">
        <v>8</v>
      </c>
      <c r="D128" s="1">
        <v>3.0</v>
      </c>
      <c r="E128" s="1" t="s">
        <v>12</v>
      </c>
      <c r="F128" s="1" t="s">
        <v>10</v>
      </c>
      <c r="G128" s="5">
        <f t="array" ref="G128">XLOOKUP(B128,LFinder!A:A,LFinder!B:B,"absent des plateformes")</f>
        <v>3215</v>
      </c>
    </row>
    <row r="129">
      <c r="A129" s="3" t="s">
        <v>185</v>
      </c>
      <c r="B129" s="4" t="str">
        <f>IFERROR(__xludf.DUMMYFUNCTION("REGEXREPLACE(A129, ""^https?://(www\.)?|/.*"", """")"),"appvizer.fr")</f>
        <v>appvizer.fr</v>
      </c>
      <c r="C129" s="1" t="s">
        <v>8</v>
      </c>
      <c r="D129" s="1">
        <v>4.0</v>
      </c>
      <c r="E129" s="1" t="s">
        <v>12</v>
      </c>
      <c r="F129" s="1" t="s">
        <v>10</v>
      </c>
      <c r="G129" s="5">
        <f t="array" ref="G129">XLOOKUP(B129,LFinder!A:A,LFinder!B:B,"absent des plateformes")</f>
        <v>4149</v>
      </c>
    </row>
    <row r="130">
      <c r="A130" s="3" t="s">
        <v>186</v>
      </c>
      <c r="B130" s="4" t="str">
        <f>IFERROR(__xludf.DUMMYFUNCTION("REGEXREPLACE(A130, ""^https?://(www\.)?|/.*"", """")"),"appvizer.fr")</f>
        <v>appvizer.fr</v>
      </c>
      <c r="C130" s="1" t="s">
        <v>8</v>
      </c>
      <c r="D130" s="1">
        <v>2.0</v>
      </c>
      <c r="E130" s="1" t="s">
        <v>66</v>
      </c>
      <c r="F130" s="1" t="s">
        <v>10</v>
      </c>
      <c r="G130" s="5">
        <f t="array" ref="G130">XLOOKUP(B130,LFinder!A:A,LFinder!B:B,"absent des plateformes")</f>
        <v>4149</v>
      </c>
    </row>
    <row r="131">
      <c r="A131" s="3" t="s">
        <v>187</v>
      </c>
      <c r="B131" s="4" t="str">
        <f>IFERROR(__xludf.DUMMYFUNCTION("REGEXREPLACE(A131, ""^https?://(www\.)?|/.*"", """")"),"appvizer.fr")</f>
        <v>appvizer.fr</v>
      </c>
      <c r="C131" s="1" t="s">
        <v>8</v>
      </c>
      <c r="D131" s="1">
        <v>1.0</v>
      </c>
      <c r="E131" s="1" t="s">
        <v>31</v>
      </c>
      <c r="F131" s="1" t="s">
        <v>10</v>
      </c>
      <c r="G131" s="5">
        <f t="array" ref="G131">XLOOKUP(B131,LFinder!A:A,LFinder!B:B,"absent des plateformes")</f>
        <v>4149</v>
      </c>
    </row>
    <row r="132">
      <c r="A132" s="3" t="s">
        <v>188</v>
      </c>
      <c r="B132" s="4" t="str">
        <f>IFERROR(__xludf.DUMMYFUNCTION("REGEXREPLACE(A132, ""^https?://(www\.)?|/.*"", """")"),"appvizer.fr")</f>
        <v>appvizer.fr</v>
      </c>
      <c r="C132" s="1" t="s">
        <v>8</v>
      </c>
      <c r="D132" s="1">
        <v>1.0</v>
      </c>
      <c r="E132" s="1" t="s">
        <v>91</v>
      </c>
      <c r="F132" s="1" t="s">
        <v>10</v>
      </c>
      <c r="G132" s="5">
        <f t="array" ref="G132">XLOOKUP(B132,LFinder!A:A,LFinder!B:B,"absent des plateformes")</f>
        <v>4149</v>
      </c>
    </row>
    <row r="133">
      <c r="A133" s="3" t="s">
        <v>189</v>
      </c>
      <c r="B133" s="4" t="str">
        <f>IFERROR(__xludf.DUMMYFUNCTION("REGEXREPLACE(A133, ""^https?://(www\.)?|/.*"", """")"),"appvizer.fr")</f>
        <v>appvizer.fr</v>
      </c>
      <c r="C133" s="1" t="s">
        <v>50</v>
      </c>
      <c r="D133" s="1">
        <v>1.0</v>
      </c>
      <c r="E133" s="1" t="s">
        <v>66</v>
      </c>
      <c r="F133" s="1" t="s">
        <v>10</v>
      </c>
      <c r="G133" s="5">
        <f t="array" ref="G133">XLOOKUP(B133,LFinder!A:A,LFinder!B:B,"absent des plateformes")</f>
        <v>4149</v>
      </c>
    </row>
    <row r="134">
      <c r="A134" s="3" t="s">
        <v>190</v>
      </c>
      <c r="B134" s="4" t="str">
        <f>IFERROR(__xludf.DUMMYFUNCTION("REGEXREPLACE(A134, ""^https?://(www\.)?|/.*"", """")"),"leparisien.fr")</f>
        <v>leparisien.fr</v>
      </c>
      <c r="C134" s="1" t="s">
        <v>8</v>
      </c>
      <c r="D134" s="1">
        <v>8.0</v>
      </c>
      <c r="E134" s="1" t="s">
        <v>191</v>
      </c>
      <c r="F134" s="1" t="s">
        <v>10</v>
      </c>
      <c r="G134" s="5">
        <f t="array" ref="G134">XLOOKUP(B134,LFinder!A:A,LFinder!B:B,"absent des plateformes")</f>
        <v>10099</v>
      </c>
    </row>
    <row r="135">
      <c r="A135" s="3" t="s">
        <v>192</v>
      </c>
      <c r="B135" s="4" t="str">
        <f>IFERROR(__xludf.DUMMYFUNCTION("REGEXREPLACE(A135, ""^https?://(www\.)?|/.*"", """")"),"leparisien.fr")</f>
        <v>leparisien.fr</v>
      </c>
      <c r="C135" s="1" t="s">
        <v>8</v>
      </c>
      <c r="D135" s="1">
        <v>5.0</v>
      </c>
      <c r="E135" s="1" t="s">
        <v>174</v>
      </c>
      <c r="F135" s="1" t="s">
        <v>10</v>
      </c>
      <c r="G135" s="5">
        <f t="array" ref="G135">XLOOKUP(B135,LFinder!A:A,LFinder!B:B,"absent des plateformes")</f>
        <v>10099</v>
      </c>
    </row>
    <row r="136">
      <c r="A136" s="3" t="s">
        <v>193</v>
      </c>
      <c r="B136" s="4" t="str">
        <f>IFERROR(__xludf.DUMMYFUNCTION("REGEXREPLACE(A136, ""^https?://(www\.)?|/.*"", """")"),"leparisien.fr")</f>
        <v>leparisien.fr</v>
      </c>
      <c r="C136" s="1" t="s">
        <v>8</v>
      </c>
      <c r="D136" s="1">
        <v>2.0</v>
      </c>
      <c r="E136" s="1" t="s">
        <v>14</v>
      </c>
      <c r="F136" s="1" t="s">
        <v>10</v>
      </c>
      <c r="G136" s="5">
        <f t="array" ref="G136">XLOOKUP(B136,LFinder!A:A,LFinder!B:B,"absent des plateformes")</f>
        <v>10099</v>
      </c>
    </row>
    <row r="137">
      <c r="A137" s="3" t="s">
        <v>194</v>
      </c>
      <c r="B137" s="4" t="str">
        <f>IFERROR(__xludf.DUMMYFUNCTION("REGEXREPLACE(A137, ""^https?://(www\.)?|/.*"", """")"),"leparisien.fr")</f>
        <v>leparisien.fr</v>
      </c>
      <c r="C137" s="1" t="s">
        <v>8</v>
      </c>
      <c r="D137" s="1">
        <v>1.0</v>
      </c>
      <c r="E137" s="1" t="s">
        <v>14</v>
      </c>
      <c r="F137" s="1" t="s">
        <v>10</v>
      </c>
      <c r="G137" s="5">
        <f t="array" ref="G137">XLOOKUP(B137,LFinder!A:A,LFinder!B:B,"absent des plateformes")</f>
        <v>10099</v>
      </c>
    </row>
    <row r="138">
      <c r="A138" s="3" t="s">
        <v>195</v>
      </c>
      <c r="B138" s="4" t="str">
        <f>IFERROR(__xludf.DUMMYFUNCTION("REGEXREPLACE(A138, ""^https?://(www\.)?|/.*"", """")"),"leparisien.fr")</f>
        <v>leparisien.fr</v>
      </c>
      <c r="C138" s="1" t="s">
        <v>50</v>
      </c>
      <c r="D138" s="1">
        <v>1.0</v>
      </c>
      <c r="E138" s="1" t="s">
        <v>66</v>
      </c>
      <c r="F138" s="1" t="s">
        <v>10</v>
      </c>
      <c r="G138" s="5">
        <f t="array" ref="G138">XLOOKUP(B138,LFinder!A:A,LFinder!B:B,"absent des plateformes")</f>
        <v>10099</v>
      </c>
    </row>
    <row r="139">
      <c r="A139" s="3" t="s">
        <v>196</v>
      </c>
      <c r="B139" s="4" t="str">
        <f>IFERROR(__xludf.DUMMYFUNCTION("REGEXREPLACE(A139, ""^https?://(www\.)?|/.*"", """")"),"lemonde.fr")</f>
        <v>lemonde.fr</v>
      </c>
      <c r="C139" s="1" t="s">
        <v>8</v>
      </c>
      <c r="D139" s="1">
        <v>4.0</v>
      </c>
      <c r="E139" s="1" t="s">
        <v>197</v>
      </c>
      <c r="F139" s="1" t="s">
        <v>10</v>
      </c>
      <c r="G139" s="5">
        <f t="array" ref="G139">XLOOKUP(B139,LFinder!A:A,LFinder!B:B,"absent des plateformes")</f>
        <v>12500</v>
      </c>
    </row>
    <row r="140">
      <c r="A140" s="3" t="s">
        <v>198</v>
      </c>
      <c r="B140" s="4" t="str">
        <f>IFERROR(__xludf.DUMMYFUNCTION("REGEXREPLACE(A140, ""^https?://(www\.)?|/.*"", """")"),"lemonde.fr")</f>
        <v>lemonde.fr</v>
      </c>
      <c r="C140" s="1" t="s">
        <v>8</v>
      </c>
      <c r="D140" s="1">
        <v>2.0</v>
      </c>
      <c r="E140" s="1" t="s">
        <v>63</v>
      </c>
      <c r="F140" s="1" t="s">
        <v>10</v>
      </c>
      <c r="G140" s="5">
        <f t="array" ref="G140">XLOOKUP(B140,LFinder!A:A,LFinder!B:B,"absent des plateformes")</f>
        <v>12500</v>
      </c>
    </row>
    <row r="141">
      <c r="A141" s="3" t="s">
        <v>199</v>
      </c>
      <c r="B141" s="4" t="str">
        <f>IFERROR(__xludf.DUMMYFUNCTION("REGEXREPLACE(A141, ""^https?://(www\.)?|/.*"", """")"),"lemonde.fr")</f>
        <v>lemonde.fr</v>
      </c>
      <c r="C141" s="1" t="s">
        <v>8</v>
      </c>
      <c r="D141" s="1">
        <v>1.0</v>
      </c>
      <c r="E141" s="1" t="s">
        <v>200</v>
      </c>
      <c r="F141" s="1" t="s">
        <v>10</v>
      </c>
      <c r="G141" s="5">
        <f t="array" ref="G141">XLOOKUP(B141,LFinder!A:A,LFinder!B:B,"absent des plateformes")</f>
        <v>12500</v>
      </c>
    </row>
    <row r="142">
      <c r="A142" s="3" t="s">
        <v>201</v>
      </c>
      <c r="B142" s="4" t="str">
        <f>IFERROR(__xludf.DUMMYFUNCTION("REGEXREPLACE(A142, ""^https?://(www\.)?|/.*"", """")"),"lemonde.fr")</f>
        <v>lemonde.fr</v>
      </c>
      <c r="C142" s="1" t="s">
        <v>8</v>
      </c>
      <c r="D142" s="1">
        <v>1.0</v>
      </c>
      <c r="E142" s="1" t="s">
        <v>14</v>
      </c>
      <c r="F142" s="1" t="s">
        <v>10</v>
      </c>
      <c r="G142" s="5">
        <f t="array" ref="G142">XLOOKUP(B142,LFinder!A:A,LFinder!B:B,"absent des plateformes")</f>
        <v>12500</v>
      </c>
    </row>
    <row r="143">
      <c r="A143" s="3" t="s">
        <v>202</v>
      </c>
      <c r="B143" s="4" t="str">
        <f>IFERROR(__xludf.DUMMYFUNCTION("REGEXREPLACE(A143, ""^https?://(www\.)?|/.*"", """")"),"banquepro.fr")</f>
        <v>banquepro.fr</v>
      </c>
      <c r="C143" s="1" t="s">
        <v>8</v>
      </c>
      <c r="D143" s="1">
        <v>17.0</v>
      </c>
      <c r="E143" s="1" t="s">
        <v>203</v>
      </c>
      <c r="F143" s="1" t="s">
        <v>10</v>
      </c>
      <c r="G143" s="5" t="str">
        <f t="array" ref="G143">XLOOKUP(B143,LFinder!A:A,LFinder!B:B,"absent des plateformes")</f>
        <v>absent des plateformes</v>
      </c>
    </row>
    <row r="144">
      <c r="A144" s="3" t="s">
        <v>204</v>
      </c>
      <c r="B144" s="4" t="str">
        <f>IFERROR(__xludf.DUMMYFUNCTION("REGEXREPLACE(A144, ""^https?://(www\.)?|/.*"", """")"),"indy.fr")</f>
        <v>indy.fr</v>
      </c>
      <c r="C144" s="1" t="s">
        <v>8</v>
      </c>
      <c r="D144" s="1">
        <v>15.0</v>
      </c>
      <c r="E144" s="1" t="s">
        <v>205</v>
      </c>
      <c r="F144" s="1" t="s">
        <v>54</v>
      </c>
      <c r="G144" s="5" t="str">
        <f t="array" ref="G144">XLOOKUP(B144,LFinder!A:A,LFinder!B:B,"absent des plateformes")</f>
        <v>absent des plateformes</v>
      </c>
    </row>
    <row r="145">
      <c r="A145" s="3" t="s">
        <v>206</v>
      </c>
      <c r="B145" s="4" t="str">
        <f>IFERROR(__xludf.DUMMYFUNCTION("REGEXREPLACE(A145, ""^https?://(www\.)?|/.*"", """")"),"comparabanques.fr")</f>
        <v>comparabanques.fr</v>
      </c>
      <c r="C145" s="1" t="s">
        <v>8</v>
      </c>
      <c r="D145" s="1">
        <v>13.0</v>
      </c>
      <c r="E145" s="1" t="s">
        <v>207</v>
      </c>
      <c r="F145" s="1" t="s">
        <v>10</v>
      </c>
      <c r="G145" s="5" t="str">
        <f t="array" ref="G145">XLOOKUP(B145,LFinder!A:A,LFinder!B:B,"absent des plateformes")</f>
        <v>absent des plateformes</v>
      </c>
    </row>
    <row r="146">
      <c r="A146" s="3" t="s">
        <v>208</v>
      </c>
      <c r="B146" s="4" t="str">
        <f>IFERROR(__xludf.DUMMYFUNCTION("REGEXREPLACE(A146, ""^https?://(www\.)?|/.*"", """")"),"indy.fr")</f>
        <v>indy.fr</v>
      </c>
      <c r="C146" s="1" t="s">
        <v>8</v>
      </c>
      <c r="D146" s="1">
        <v>12.0</v>
      </c>
      <c r="E146" s="1" t="s">
        <v>209</v>
      </c>
      <c r="F146" s="1" t="s">
        <v>54</v>
      </c>
      <c r="G146" s="5" t="str">
        <f t="array" ref="G146">XLOOKUP(B146,LFinder!A:A,LFinder!B:B,"absent des plateformes")</f>
        <v>absent des plateformes</v>
      </c>
    </row>
    <row r="147">
      <c r="A147" s="3" t="s">
        <v>210</v>
      </c>
      <c r="B147" s="4" t="str">
        <f>IFERROR(__xludf.DUMMYFUNCTION("REGEXREPLACE(A147, ""^https?://(www\.)?|/.*"", """")"),"indy.fr")</f>
        <v>indy.fr</v>
      </c>
      <c r="C147" s="1" t="s">
        <v>8</v>
      </c>
      <c r="D147" s="1">
        <v>12.0</v>
      </c>
      <c r="E147" s="1" t="s">
        <v>211</v>
      </c>
      <c r="F147" s="1" t="s">
        <v>10</v>
      </c>
      <c r="G147" s="5" t="str">
        <f t="array" ref="G147">XLOOKUP(B147,LFinder!A:A,LFinder!B:B,"absent des plateformes")</f>
        <v>absent des plateformes</v>
      </c>
    </row>
    <row r="148">
      <c r="A148" s="3" t="s">
        <v>212</v>
      </c>
      <c r="B148" s="4" t="str">
        <f>IFERROR(__xludf.DUMMYFUNCTION("REGEXREPLACE(A148, ""^https?://(www\.)?|/.*"", """")"),"quelle-banque-pro.fr")</f>
        <v>quelle-banque-pro.fr</v>
      </c>
      <c r="C148" s="1" t="s">
        <v>8</v>
      </c>
      <c r="D148" s="1">
        <v>11.0</v>
      </c>
      <c r="E148" s="1" t="s">
        <v>213</v>
      </c>
      <c r="F148" s="1" t="s">
        <v>54</v>
      </c>
      <c r="G148" s="5" t="str">
        <f t="array" ref="G148">XLOOKUP(B148,LFinder!A:A,LFinder!B:B,"absent des plateformes")</f>
        <v>absent des plateformes</v>
      </c>
    </row>
    <row r="149">
      <c r="A149" s="3" t="s">
        <v>214</v>
      </c>
      <c r="B149" s="4" t="str">
        <f>IFERROR(__xludf.DUMMYFUNCTION("REGEXREPLACE(A149, ""^https?://(www\.)?|/.*"", """")"),"comparabanques.fr")</f>
        <v>comparabanques.fr</v>
      </c>
      <c r="C149" s="1" t="s">
        <v>8</v>
      </c>
      <c r="D149" s="1">
        <v>11.0</v>
      </c>
      <c r="E149" s="1" t="s">
        <v>215</v>
      </c>
      <c r="F149" s="1" t="s">
        <v>10</v>
      </c>
      <c r="G149" s="5" t="str">
        <f t="array" ref="G149">XLOOKUP(B149,LFinder!A:A,LFinder!B:B,"absent des plateformes")</f>
        <v>absent des plateformes</v>
      </c>
    </row>
    <row r="150">
      <c r="A150" s="3" t="s">
        <v>216</v>
      </c>
      <c r="B150" s="4" t="str">
        <f>IFERROR(__xludf.DUMMYFUNCTION("REGEXREPLACE(A150, ""^https?://(www\.)?|/.*"", """")"),"selectra.info")</f>
        <v>selectra.info</v>
      </c>
      <c r="C150" s="1" t="s">
        <v>8</v>
      </c>
      <c r="D150" s="1">
        <v>10.0</v>
      </c>
      <c r="E150" s="1" t="s">
        <v>217</v>
      </c>
      <c r="F150" s="1" t="s">
        <v>10</v>
      </c>
      <c r="G150" s="5" t="str">
        <f t="array" ref="G150">XLOOKUP(B150,LFinder!A:A,LFinder!B:B,"absent des plateformes")</f>
        <v>absent des plateformes</v>
      </c>
    </row>
    <row r="151">
      <c r="A151" s="3" t="s">
        <v>218</v>
      </c>
      <c r="B151" s="4" t="str">
        <f>IFERROR(__xludf.DUMMYFUNCTION("REGEXREPLACE(A151, ""^https?://(www\.)?|/.*"", """")"),"fiteco.com")</f>
        <v>fiteco.com</v>
      </c>
      <c r="C151" s="1" t="s">
        <v>8</v>
      </c>
      <c r="D151" s="1">
        <v>10.0</v>
      </c>
      <c r="E151" s="1" t="s">
        <v>121</v>
      </c>
      <c r="F151" s="1" t="s">
        <v>10</v>
      </c>
      <c r="G151" s="5" t="str">
        <f t="array" ref="G151">XLOOKUP(B151,LFinder!A:A,LFinder!B:B,"absent des plateformes")</f>
        <v>absent des plateformes</v>
      </c>
    </row>
    <row r="152">
      <c r="A152" s="3" t="s">
        <v>219</v>
      </c>
      <c r="B152" s="4" t="str">
        <f>IFERROR(__xludf.DUMMYFUNCTION("REGEXREPLACE(A152, ""^https?://(www\.)?|/.*"", """")"),"tgs-france.fr")</f>
        <v>tgs-france.fr</v>
      </c>
      <c r="C152" s="1" t="s">
        <v>8</v>
      </c>
      <c r="D152" s="1">
        <v>10.0</v>
      </c>
      <c r="E152" s="1" t="s">
        <v>121</v>
      </c>
      <c r="F152" s="1" t="s">
        <v>10</v>
      </c>
      <c r="G152" s="5" t="str">
        <f t="array" ref="G152">XLOOKUP(B152,LFinder!A:A,LFinder!B:B,"absent des plateformes")</f>
        <v>absent des plateformes</v>
      </c>
    </row>
    <row r="153">
      <c r="A153" s="3" t="s">
        <v>220</v>
      </c>
      <c r="B153" s="4" t="str">
        <f>IFERROR(__xludf.DUMMYFUNCTION("REGEXREPLACE(A153, ""^https?://(www\.)?|/.*"", """")"),"finarena.fr")</f>
        <v>finarena.fr</v>
      </c>
      <c r="C153" s="1" t="s">
        <v>8</v>
      </c>
      <c r="D153" s="1">
        <v>9.0</v>
      </c>
      <c r="E153" s="1" t="s">
        <v>75</v>
      </c>
      <c r="F153" s="1" t="s">
        <v>10</v>
      </c>
      <c r="G153" s="5" t="str">
        <f t="array" ref="G153">XLOOKUP(B153,LFinder!A:A,LFinder!B:B,"absent des plateformes")</f>
        <v>absent des plateformes</v>
      </c>
    </row>
    <row r="154">
      <c r="A154" s="3" t="s">
        <v>221</v>
      </c>
      <c r="B154" s="4" t="str">
        <f>IFERROR(__xludf.DUMMYFUNCTION("REGEXREPLACE(A154, ""^https?://(www\.)?|/.*"", """")"),"talenz.fr")</f>
        <v>talenz.fr</v>
      </c>
      <c r="C154" s="1" t="s">
        <v>8</v>
      </c>
      <c r="D154" s="1">
        <v>9.0</v>
      </c>
      <c r="E154" s="1" t="s">
        <v>123</v>
      </c>
      <c r="F154" s="1" t="s">
        <v>10</v>
      </c>
      <c r="G154" s="5" t="str">
        <f t="array" ref="G154">XLOOKUP(B154,LFinder!A:A,LFinder!B:B,"absent des plateformes")</f>
        <v>absent des plateformes</v>
      </c>
    </row>
    <row r="155">
      <c r="A155" s="3" t="s">
        <v>222</v>
      </c>
      <c r="B155" s="4" t="str">
        <f>IFERROR(__xludf.DUMMYFUNCTION("REGEXREPLACE(A155, ""^https?://(www\.)?|/.*"", """")"),"indy.fr")</f>
        <v>indy.fr</v>
      </c>
      <c r="C155" s="1" t="s">
        <v>8</v>
      </c>
      <c r="D155" s="1">
        <v>9.0</v>
      </c>
      <c r="E155" s="1" t="s">
        <v>191</v>
      </c>
      <c r="F155" s="1" t="s">
        <v>10</v>
      </c>
      <c r="G155" s="5" t="str">
        <f t="array" ref="G155">XLOOKUP(B155,LFinder!A:A,LFinder!B:B,"absent des plateformes")</f>
        <v>absent des plateformes</v>
      </c>
    </row>
    <row r="156">
      <c r="A156" s="3" t="s">
        <v>223</v>
      </c>
      <c r="B156" s="4" t="str">
        <f>IFERROR(__xludf.DUMMYFUNCTION("REGEXREPLACE(A156, ""^https?://(www\.)?|/.*"", """")"),"expert-comptable-tpe.fr")</f>
        <v>expert-comptable-tpe.fr</v>
      </c>
      <c r="C156" s="1" t="s">
        <v>8</v>
      </c>
      <c r="D156" s="1">
        <v>8.0</v>
      </c>
      <c r="E156" s="1" t="s">
        <v>224</v>
      </c>
      <c r="F156" s="1" t="s">
        <v>10</v>
      </c>
      <c r="G156" s="5" t="str">
        <f t="array" ref="G156">XLOOKUP(B156,LFinder!A:A,LFinder!B:B,"absent des plateformes")</f>
        <v>absent des plateformes</v>
      </c>
    </row>
    <row r="157">
      <c r="A157" s="3" t="s">
        <v>225</v>
      </c>
      <c r="B157" s="4" t="str">
        <f>IFERROR(__xludf.DUMMYFUNCTION("REGEXREPLACE(A157, ""^https?://(www\.)?|/.*"", """")"),"fiducial.fr")</f>
        <v>fiducial.fr</v>
      </c>
      <c r="C157" s="1" t="s">
        <v>8</v>
      </c>
      <c r="D157" s="1">
        <v>8.0</v>
      </c>
      <c r="E157" s="1" t="s">
        <v>123</v>
      </c>
      <c r="F157" s="1" t="s">
        <v>54</v>
      </c>
      <c r="G157" s="5" t="str">
        <f t="array" ref="G157">XLOOKUP(B157,LFinder!A:A,LFinder!B:B,"absent des plateformes")</f>
        <v>absent des plateformes</v>
      </c>
    </row>
    <row r="158">
      <c r="A158" s="3" t="s">
        <v>226</v>
      </c>
      <c r="B158" s="4" t="str">
        <f>IFERROR(__xludf.DUMMYFUNCTION("REGEXREPLACE(A158, ""^https?://(www\.)?|/.*"", """")"),"strategie-patrimoine.fr")</f>
        <v>strategie-patrimoine.fr</v>
      </c>
      <c r="C158" s="1" t="s">
        <v>8</v>
      </c>
      <c r="D158" s="1">
        <v>7.0</v>
      </c>
      <c r="E158" s="1" t="s">
        <v>75</v>
      </c>
      <c r="F158" s="1" t="s">
        <v>10</v>
      </c>
      <c r="G158" s="5" t="str">
        <f t="array" ref="G158">XLOOKUP(B158,LFinder!A:A,LFinder!B:B,"absent des plateformes")</f>
        <v>absent des plateformes</v>
      </c>
    </row>
    <row r="159">
      <c r="A159" s="3" t="s">
        <v>227</v>
      </c>
      <c r="B159" s="4" t="str">
        <f>IFERROR(__xludf.DUMMYFUNCTION("REGEXREPLACE(A159, ""^https?://(www\.)?|/.*"", """")"),"normandie-ouest.cerfrance.fr")</f>
        <v>normandie-ouest.cerfrance.fr</v>
      </c>
      <c r="C159" s="1" t="s">
        <v>8</v>
      </c>
      <c r="D159" s="1">
        <v>7.0</v>
      </c>
      <c r="E159" s="1" t="s">
        <v>228</v>
      </c>
      <c r="F159" s="1" t="s">
        <v>10</v>
      </c>
      <c r="G159" s="5" t="str">
        <f t="array" ref="G159">XLOOKUP(B159,LFinder!A:A,LFinder!B:B,"absent des plateformes")</f>
        <v>absent des plateformes</v>
      </c>
    </row>
    <row r="160">
      <c r="A160" s="3" t="s">
        <v>229</v>
      </c>
      <c r="B160" s="4" t="str">
        <f>IFERROR(__xludf.DUMMYFUNCTION("REGEXREPLACE(A160, ""^https?://(www\.)?|/.*"", """")"),"pennylane.com")</f>
        <v>pennylane.com</v>
      </c>
      <c r="C160" s="1" t="s">
        <v>8</v>
      </c>
      <c r="D160" s="1">
        <v>7.0</v>
      </c>
      <c r="E160" s="1" t="s">
        <v>230</v>
      </c>
      <c r="F160" s="1" t="s">
        <v>54</v>
      </c>
      <c r="G160" s="5" t="str">
        <f t="array" ref="G160">XLOOKUP(B160,LFinder!A:A,LFinder!B:B,"absent des plateformes")</f>
        <v>absent des plateformes</v>
      </c>
    </row>
    <row r="161">
      <c r="A161" s="3" t="s">
        <v>231</v>
      </c>
      <c r="B161" s="4" t="str">
        <f>IFERROR(__xludf.DUMMYFUNCTION("REGEXREPLACE(A161, ""^https?://(www\.)?|/.*"", """")"),"comparepdp.com")</f>
        <v>comparepdp.com</v>
      </c>
      <c r="C161" s="1" t="s">
        <v>8</v>
      </c>
      <c r="D161" s="1">
        <v>7.0</v>
      </c>
      <c r="E161" s="1" t="s">
        <v>230</v>
      </c>
      <c r="F161" s="1" t="s">
        <v>10</v>
      </c>
      <c r="G161" s="5" t="str">
        <f t="array" ref="G161">XLOOKUP(B161,LFinder!A:A,LFinder!B:B,"absent des plateformes")</f>
        <v>absent des plateformes</v>
      </c>
    </row>
    <row r="162">
      <c r="A162" s="3" t="s">
        <v>232</v>
      </c>
      <c r="B162" s="4" t="str">
        <f>IFERROR(__xludf.DUMMYFUNCTION("REGEXREPLACE(A162, ""^https?://(www\.)?|/.*"", """")"),"indy.fr")</f>
        <v>indy.fr</v>
      </c>
      <c r="C162" s="1" t="s">
        <v>8</v>
      </c>
      <c r="D162" s="1">
        <v>7.0</v>
      </c>
      <c r="E162" s="1" t="s">
        <v>233</v>
      </c>
      <c r="F162" s="1" t="s">
        <v>54</v>
      </c>
      <c r="G162" s="5" t="str">
        <f t="array" ref="G162">XLOOKUP(B162,LFinder!A:A,LFinder!B:B,"absent des plateformes")</f>
        <v>absent des plateformes</v>
      </c>
    </row>
    <row r="163">
      <c r="A163" s="3" t="s">
        <v>234</v>
      </c>
      <c r="B163" s="4" t="str">
        <f>IFERROR(__xludf.DUMMYFUNCTION("REGEXREPLACE(A163, ""^https?://(www\.)?|/.*"", """")"),"impots.gouv.fr")</f>
        <v>impots.gouv.fr</v>
      </c>
      <c r="C163" s="1" t="s">
        <v>8</v>
      </c>
      <c r="D163" s="1">
        <v>7.0</v>
      </c>
      <c r="E163" s="1" t="s">
        <v>230</v>
      </c>
      <c r="F163" s="1" t="s">
        <v>10</v>
      </c>
      <c r="G163" s="5" t="str">
        <f t="array" ref="G163">XLOOKUP(B163,LFinder!A:A,LFinder!B:B,"absent des plateformes")</f>
        <v>absent des plateformes</v>
      </c>
    </row>
    <row r="164">
      <c r="A164" s="3" t="s">
        <v>235</v>
      </c>
      <c r="B164" s="4" t="str">
        <f>IFERROR(__xludf.DUMMYFUNCTION("REGEXREPLACE(A164, ""^https?://(www\.)?|/.*"", """")"),"entreprendre.service-public.fr")</f>
        <v>entreprendre.service-public.fr</v>
      </c>
      <c r="C164" s="1" t="s">
        <v>8</v>
      </c>
      <c r="D164" s="1">
        <v>7.0</v>
      </c>
      <c r="E164" s="1" t="s">
        <v>230</v>
      </c>
      <c r="F164" s="1" t="s">
        <v>10</v>
      </c>
      <c r="G164" s="5" t="str">
        <f t="array" ref="G164">XLOOKUP(B164,LFinder!A:A,LFinder!B:B,"absent des plateformes")</f>
        <v>absent des plateformes</v>
      </c>
    </row>
    <row r="165">
      <c r="A165" s="3" t="s">
        <v>236</v>
      </c>
      <c r="B165" s="4" t="str">
        <f>IFERROR(__xludf.DUMMYFUNCTION("REGEXREPLACE(A165, ""^https?://(www\.)?|/.*"", """")"),"banque.meilleurtaux.com")</f>
        <v>banque.meilleurtaux.com</v>
      </c>
      <c r="C165" s="1" t="s">
        <v>8</v>
      </c>
      <c r="D165" s="1">
        <v>6.0</v>
      </c>
      <c r="E165" s="1" t="s">
        <v>151</v>
      </c>
      <c r="F165" s="1" t="s">
        <v>54</v>
      </c>
      <c r="G165" s="5" t="str">
        <f t="array" ref="G165">XLOOKUP(B165,LFinder!A:A,LFinder!B:B,"absent des plateformes")</f>
        <v>absent des plateformes</v>
      </c>
    </row>
    <row r="166">
      <c r="A166" s="3" t="s">
        <v>237</v>
      </c>
      <c r="B166" s="4" t="str">
        <f>IFERROR(__xludf.DUMMYFUNCTION("REGEXREPLACE(A166, ""^https?://(www\.)?|/.*"", """")"),"primexis.fr")</f>
        <v>primexis.fr</v>
      </c>
      <c r="C166" s="1" t="s">
        <v>8</v>
      </c>
      <c r="D166" s="1">
        <v>6.0</v>
      </c>
      <c r="E166" s="1" t="s">
        <v>238</v>
      </c>
      <c r="F166" s="1" t="s">
        <v>10</v>
      </c>
      <c r="G166" s="5" t="str">
        <f t="array" ref="G166">XLOOKUP(B166,LFinder!A:A,LFinder!B:B,"absent des plateformes")</f>
        <v>absent des plateformes</v>
      </c>
    </row>
    <row r="167">
      <c r="A167" s="3" t="s">
        <v>239</v>
      </c>
      <c r="B167" s="4" t="str">
        <f>IFERROR(__xludf.DUMMYFUNCTION("REGEXREPLACE(A167, ""^https?://(www\.)?|/.*"", """")"),"visioretraite.com")</f>
        <v>visioretraite.com</v>
      </c>
      <c r="C167" s="1" t="s">
        <v>8</v>
      </c>
      <c r="D167" s="1">
        <v>6.0</v>
      </c>
      <c r="E167" s="1" t="s">
        <v>240</v>
      </c>
      <c r="F167" s="1" t="s">
        <v>10</v>
      </c>
      <c r="G167" s="5" t="str">
        <f t="array" ref="G167">XLOOKUP(B167,LFinder!A:A,LFinder!B:B,"absent des plateformes")</f>
        <v>absent des plateformes</v>
      </c>
    </row>
    <row r="168">
      <c r="A168" s="3" t="s">
        <v>241</v>
      </c>
      <c r="B168" s="4" t="str">
        <f>IFERROR(__xludf.DUMMYFUNCTION("REGEXREPLACE(A168, ""^https?://(www\.)?|/.*"", """")"),"companeo.com")</f>
        <v>companeo.com</v>
      </c>
      <c r="C168" s="1" t="s">
        <v>8</v>
      </c>
      <c r="D168" s="1">
        <v>6.0</v>
      </c>
      <c r="E168" s="1" t="s">
        <v>242</v>
      </c>
      <c r="F168" s="1" t="s">
        <v>10</v>
      </c>
      <c r="G168" s="5" t="str">
        <f t="array" ref="G168">XLOOKUP(B168,LFinder!A:A,LFinder!B:B,"absent des plateformes")</f>
        <v>absent des plateformes</v>
      </c>
    </row>
    <row r="169">
      <c r="A169" s="3" t="s">
        <v>243</v>
      </c>
      <c r="B169" s="4" t="str">
        <f>IFERROR(__xludf.DUMMYFUNCTION("REGEXREPLACE(A169, ""^https?://(www\.)?|/.*"", """")"),"comparatif-facture.fr")</f>
        <v>comparatif-facture.fr</v>
      </c>
      <c r="C169" s="1" t="s">
        <v>8</v>
      </c>
      <c r="D169" s="1">
        <v>6.0</v>
      </c>
      <c r="E169" s="1" t="s">
        <v>117</v>
      </c>
      <c r="F169" s="1" t="s">
        <v>10</v>
      </c>
      <c r="G169" s="5" t="str">
        <f t="array" ref="G169">XLOOKUP(B169,LFinder!A:A,LFinder!B:B,"absent des plateformes")</f>
        <v>absent des plateformes</v>
      </c>
    </row>
    <row r="170">
      <c r="A170" s="3" t="s">
        <v>244</v>
      </c>
      <c r="B170" s="4" t="str">
        <f>IFERROR(__xludf.DUMMYFUNCTION("REGEXREPLACE(A170, ""^https?://(www\.)?|/.*"", """")"),"quelle-pa.fr")</f>
        <v>quelle-pa.fr</v>
      </c>
      <c r="C170" s="1" t="s">
        <v>8</v>
      </c>
      <c r="D170" s="1">
        <v>6.0</v>
      </c>
      <c r="E170" s="1" t="s">
        <v>33</v>
      </c>
      <c r="F170" s="1" t="s">
        <v>10</v>
      </c>
      <c r="G170" s="5" t="str">
        <f t="array" ref="G170">XLOOKUP(B170,LFinder!A:A,LFinder!B:B,"absent des plateformes")</f>
        <v>absent des plateformes</v>
      </c>
    </row>
    <row r="171">
      <c r="A171" s="3" t="s">
        <v>245</v>
      </c>
      <c r="B171" s="4" t="str">
        <f>IFERROR(__xludf.DUMMYFUNCTION("REGEXREPLACE(A171, ""^https?://(www\.)?|/.*"", """")"),"experts-afe.fr")</f>
        <v>experts-afe.fr</v>
      </c>
      <c r="C171" s="1" t="s">
        <v>8</v>
      </c>
      <c r="D171" s="1">
        <v>6.0</v>
      </c>
      <c r="E171" s="1" t="s">
        <v>228</v>
      </c>
      <c r="F171" s="1" t="s">
        <v>10</v>
      </c>
      <c r="G171" s="5" t="str">
        <f t="array" ref="G171">XLOOKUP(B171,LFinder!A:A,LFinder!B:B,"absent des plateformes")</f>
        <v>absent des plateformes</v>
      </c>
    </row>
    <row r="172">
      <c r="A172" s="3" t="s">
        <v>246</v>
      </c>
      <c r="B172" s="4" t="str">
        <f>IFERROR(__xludf.DUMMYFUNCTION("REGEXREPLACE(A172, ""^https?://(www\.)?|/.*"", """")"),"fr.wikipedia.org")</f>
        <v>fr.wikipedia.org</v>
      </c>
      <c r="C172" s="1" t="s">
        <v>8</v>
      </c>
      <c r="D172" s="1">
        <v>6.0</v>
      </c>
      <c r="E172" s="1" t="s">
        <v>247</v>
      </c>
      <c r="F172" s="1" t="s">
        <v>10</v>
      </c>
      <c r="G172" s="5" t="str">
        <f t="array" ref="G172">XLOOKUP(B172,LFinder!A:A,LFinder!B:B,"absent des plateformes")</f>
        <v>absent des plateformes</v>
      </c>
    </row>
    <row r="173">
      <c r="A173" s="3" t="s">
        <v>248</v>
      </c>
      <c r="B173" s="4" t="str">
        <f>IFERROR(__xludf.DUMMYFUNCTION("REGEXREPLACE(A173, ""^https?://(www\.)?|/.*"", """")"),"stackindep.fr")</f>
        <v>stackindep.fr</v>
      </c>
      <c r="C173" s="1" t="s">
        <v>8</v>
      </c>
      <c r="D173" s="1">
        <v>5.0</v>
      </c>
      <c r="E173" s="1" t="s">
        <v>249</v>
      </c>
      <c r="F173" s="1" t="s">
        <v>10</v>
      </c>
      <c r="G173" s="5" t="str">
        <f t="array" ref="G173">XLOOKUP(B173,LFinder!A:A,LFinder!B:B,"absent des plateformes")</f>
        <v>absent des plateformes</v>
      </c>
    </row>
    <row r="174">
      <c r="A174" s="3" t="s">
        <v>250</v>
      </c>
      <c r="B174" s="4" t="str">
        <f>IFERROR(__xludf.DUMMYFUNCTION("REGEXREPLACE(A174, ""^https?://(www\.)?|/.*"", """")"),"comparatif-facture-electronique.fr")</f>
        <v>comparatif-facture-electronique.fr</v>
      </c>
      <c r="C174" s="1" t="s">
        <v>8</v>
      </c>
      <c r="D174" s="1">
        <v>5.0</v>
      </c>
      <c r="E174" s="1" t="s">
        <v>251</v>
      </c>
      <c r="F174" s="1" t="s">
        <v>10</v>
      </c>
      <c r="G174" s="5" t="str">
        <f t="array" ref="G174">XLOOKUP(B174,LFinder!A:A,LFinder!B:B,"absent des plateformes")</f>
        <v>absent des plateformes</v>
      </c>
    </row>
    <row r="175">
      <c r="A175" s="3" t="s">
        <v>252</v>
      </c>
      <c r="B175" s="4" t="str">
        <f>IFERROR(__xludf.DUMMYFUNCTION("REGEXREPLACE(A175, ""^https?://(www\.)?|/.*"", """")"),"impli.fr")</f>
        <v>impli.fr</v>
      </c>
      <c r="C175" s="1" t="s">
        <v>8</v>
      </c>
      <c r="D175" s="1">
        <v>5.0</v>
      </c>
      <c r="E175" s="1" t="s">
        <v>253</v>
      </c>
      <c r="F175" s="1" t="s">
        <v>10</v>
      </c>
      <c r="G175" s="5" t="str">
        <f t="array" ref="G175">XLOOKUP(B175,LFinder!A:A,LFinder!B:B,"absent des plateformes")</f>
        <v>absent des plateformes</v>
      </c>
    </row>
    <row r="176">
      <c r="A176" s="3" t="s">
        <v>254</v>
      </c>
      <c r="B176" s="4" t="str">
        <f>IFERROR(__xludf.DUMMYFUNCTION("REGEXREPLACE(A176, ""^https?://(www\.)?|/.*"", """")"),"logiciel-de-facturation.com")</f>
        <v>logiciel-de-facturation.com</v>
      </c>
      <c r="C176" s="1" t="s">
        <v>8</v>
      </c>
      <c r="D176" s="1">
        <v>5.0</v>
      </c>
      <c r="E176" s="1" t="s">
        <v>117</v>
      </c>
      <c r="F176" s="1" t="s">
        <v>10</v>
      </c>
      <c r="G176" s="5" t="str">
        <f t="array" ref="G176">XLOOKUP(B176,LFinder!A:A,LFinder!B:B,"absent des plateformes")</f>
        <v>absent des plateformes</v>
      </c>
    </row>
    <row r="177">
      <c r="A177" s="3" t="s">
        <v>255</v>
      </c>
      <c r="B177" s="4" t="str">
        <f>IFERROR(__xludf.DUMMYFUNCTION("REGEXREPLACE(A177, ""^https?://(www\.)?|/.*"", """")"),"hlp-audit.fr")</f>
        <v>hlp-audit.fr</v>
      </c>
      <c r="C177" s="1" t="s">
        <v>8</v>
      </c>
      <c r="D177" s="1">
        <v>5.0</v>
      </c>
      <c r="E177" s="1" t="s">
        <v>228</v>
      </c>
      <c r="F177" s="1" t="s">
        <v>10</v>
      </c>
      <c r="G177" s="5" t="str">
        <f t="array" ref="G177">XLOOKUP(B177,LFinder!A:A,LFinder!B:B,"absent des plateformes")</f>
        <v>absent des plateformes</v>
      </c>
    </row>
    <row r="178">
      <c r="A178" s="3" t="s">
        <v>256</v>
      </c>
      <c r="B178" s="4" t="str">
        <f>IFERROR(__xludf.DUMMYFUNCTION("REGEXREPLACE(A178, ""^https?://(www\.)?|/.*"", """")"),"docaposte.com")</f>
        <v>docaposte.com</v>
      </c>
      <c r="C178" s="1" t="s">
        <v>8</v>
      </c>
      <c r="D178" s="1">
        <v>5.0</v>
      </c>
      <c r="E178" s="1" t="s">
        <v>230</v>
      </c>
      <c r="F178" s="1" t="s">
        <v>54</v>
      </c>
      <c r="G178" s="5" t="str">
        <f t="array" ref="G178">XLOOKUP(B178,LFinder!A:A,LFinder!B:B,"absent des plateformes")</f>
        <v>absent des plateformes</v>
      </c>
    </row>
    <row r="179">
      <c r="A179" s="3" t="s">
        <v>257</v>
      </c>
      <c r="B179" s="4" t="str">
        <f>IFERROR(__xludf.DUMMYFUNCTION("REGEXREPLACE(A179, ""^https?://(www\.)?|/.*"", """")"),"sefreco.fr")</f>
        <v>sefreco.fr</v>
      </c>
      <c r="C179" s="1" t="s">
        <v>8</v>
      </c>
      <c r="D179" s="1">
        <v>5.0</v>
      </c>
      <c r="E179" s="1" t="s">
        <v>258</v>
      </c>
      <c r="F179" s="1" t="s">
        <v>10</v>
      </c>
      <c r="G179" s="5" t="str">
        <f t="array" ref="G179">XLOOKUP(B179,LFinder!A:A,LFinder!B:B,"absent des plateformes")</f>
        <v>absent des plateformes</v>
      </c>
    </row>
    <row r="180">
      <c r="A180" s="3" t="s">
        <v>259</v>
      </c>
      <c r="B180" s="4" t="str">
        <f>IFERROR(__xludf.DUMMYFUNCTION("REGEXREPLACE(A180, ""^https?://(www\.)?|/.*"", """")"),"nord-pas-de-calais.cerfrance.fr")</f>
        <v>nord-pas-de-calais.cerfrance.fr</v>
      </c>
      <c r="C180" s="1" t="s">
        <v>8</v>
      </c>
      <c r="D180" s="1">
        <v>5.0</v>
      </c>
      <c r="E180" s="1" t="s">
        <v>200</v>
      </c>
      <c r="F180" s="1" t="s">
        <v>10</v>
      </c>
      <c r="G180" s="5" t="str">
        <f t="array" ref="G180">XLOOKUP(B180,LFinder!A:A,LFinder!B:B,"absent des plateformes")</f>
        <v>absent des plateformes</v>
      </c>
    </row>
    <row r="181">
      <c r="A181" s="3" t="s">
        <v>260</v>
      </c>
      <c r="B181" s="4" t="str">
        <f>IFERROR(__xludf.DUMMYFUNCTION("REGEXREPLACE(A181, ""^https?://(www\.)?|/.*"", """")"),"advyse.fr")</f>
        <v>advyse.fr</v>
      </c>
      <c r="C181" s="1" t="s">
        <v>8</v>
      </c>
      <c r="D181" s="1">
        <v>5.0</v>
      </c>
      <c r="E181" s="1" t="s">
        <v>261</v>
      </c>
      <c r="F181" s="1" t="s">
        <v>10</v>
      </c>
      <c r="G181" s="5" t="str">
        <f t="array" ref="G181">XLOOKUP(B181,LFinder!A:A,LFinder!B:B,"absent des plateformes")</f>
        <v>absent des plateformes</v>
      </c>
    </row>
    <row r="182">
      <c r="A182" s="3" t="s">
        <v>262</v>
      </c>
      <c r="B182" s="4" t="str">
        <f>IFERROR(__xludf.DUMMYFUNCTION("REGEXREPLACE(A182, ""^https?://(www\.)?|/.*"", """")"),"francenum.gouv.fr")</f>
        <v>francenum.gouv.fr</v>
      </c>
      <c r="C182" s="1" t="s">
        <v>8</v>
      </c>
      <c r="D182" s="1">
        <v>5.0</v>
      </c>
      <c r="E182" s="1" t="s">
        <v>263</v>
      </c>
      <c r="F182" s="1" t="s">
        <v>10</v>
      </c>
      <c r="G182" s="5" t="str">
        <f t="array" ref="G182">XLOOKUP(B182,LFinder!A:A,LFinder!B:B,"absent des plateformes")</f>
        <v>absent des plateformes</v>
      </c>
    </row>
    <row r="183">
      <c r="A183" s="3" t="s">
        <v>264</v>
      </c>
      <c r="B183" s="4" t="str">
        <f>IFERROR(__xludf.DUMMYFUNCTION("REGEXREPLACE(A183, ""^https?://(www\.)?|/.*"", """")"),"expert-comptable-tpe.fr")</f>
        <v>expert-comptable-tpe.fr</v>
      </c>
      <c r="C183" s="1" t="s">
        <v>8</v>
      </c>
      <c r="D183" s="1">
        <v>5.0</v>
      </c>
      <c r="E183" s="1" t="s">
        <v>265</v>
      </c>
      <c r="F183" s="1" t="s">
        <v>10</v>
      </c>
      <c r="G183" s="5" t="str">
        <f t="array" ref="G183">XLOOKUP(B183,LFinder!A:A,LFinder!B:B,"absent des plateformes")</f>
        <v>absent des plateformes</v>
      </c>
    </row>
    <row r="184">
      <c r="A184" s="3" t="s">
        <v>266</v>
      </c>
      <c r="B184" s="4" t="str">
        <f>IFERROR(__xludf.DUMMYFUNCTION("REGEXREPLACE(A184, ""^https?://(www\.)?|/.*"", """")"),"fiducial.fr")</f>
        <v>fiducial.fr</v>
      </c>
      <c r="C184" s="1" t="s">
        <v>8</v>
      </c>
      <c r="D184" s="1">
        <v>5.0</v>
      </c>
      <c r="E184" s="1" t="s">
        <v>106</v>
      </c>
      <c r="F184" s="1" t="s">
        <v>54</v>
      </c>
      <c r="G184" s="5" t="str">
        <f t="array" ref="G184">XLOOKUP(B184,LFinder!A:A,LFinder!B:B,"absent des plateformes")</f>
        <v>absent des plateformes</v>
      </c>
    </row>
    <row r="185">
      <c r="A185" s="3" t="s">
        <v>267</v>
      </c>
      <c r="B185" s="4" t="str">
        <f>IFERROR(__xludf.DUMMYFUNCTION("REGEXREPLACE(A185, ""^https?://(www\.)?|/.*"", """")"),"fiducial.fr")</f>
        <v>fiducial.fr</v>
      </c>
      <c r="C185" s="1" t="s">
        <v>8</v>
      </c>
      <c r="D185" s="1">
        <v>5.0</v>
      </c>
      <c r="E185" s="1" t="s">
        <v>121</v>
      </c>
      <c r="F185" s="1" t="s">
        <v>54</v>
      </c>
      <c r="G185" s="5" t="str">
        <f t="array" ref="G185">XLOOKUP(B185,LFinder!A:A,LFinder!B:B,"absent des plateformes")</f>
        <v>absent des plateformes</v>
      </c>
    </row>
    <row r="186">
      <c r="A186" s="3" t="s">
        <v>268</v>
      </c>
      <c r="B186" s="4" t="str">
        <f>IFERROR(__xludf.DUMMYFUNCTION("REGEXREPLACE(A186, ""^https?://(www\.)?|/.*"", """")"),"dougs.fr")</f>
        <v>dougs.fr</v>
      </c>
      <c r="C186" s="1" t="s">
        <v>8</v>
      </c>
      <c r="D186" s="1">
        <v>5.0</v>
      </c>
      <c r="E186" s="1" t="s">
        <v>230</v>
      </c>
      <c r="F186" s="1" t="s">
        <v>54</v>
      </c>
      <c r="G186" s="5" t="str">
        <f t="array" ref="G186">XLOOKUP(B186,LFinder!A:A,LFinder!B:B,"absent des plateformes")</f>
        <v>absent des plateformes</v>
      </c>
    </row>
    <row r="187">
      <c r="A187" s="3" t="s">
        <v>269</v>
      </c>
      <c r="B187" s="4" t="str">
        <f>IFERROR(__xludf.DUMMYFUNCTION("REGEXREPLACE(A187, ""^https?://(www\.)?|/.*"", """")"),"detective-banque.fr")</f>
        <v>detective-banque.fr</v>
      </c>
      <c r="C187" s="1" t="s">
        <v>8</v>
      </c>
      <c r="D187" s="1">
        <v>5.0</v>
      </c>
      <c r="E187" s="1" t="s">
        <v>29</v>
      </c>
      <c r="F187" s="1" t="s">
        <v>54</v>
      </c>
      <c r="G187" s="5" t="str">
        <f t="array" ref="G187">XLOOKUP(B187,LFinder!A:A,LFinder!B:B,"absent des plateformes")</f>
        <v>absent des plateformes</v>
      </c>
    </row>
    <row r="188">
      <c r="A188" s="3" t="s">
        <v>270</v>
      </c>
      <c r="B188" s="4" t="str">
        <f>IFERROR(__xludf.DUMMYFUNCTION("REGEXREPLACE(A188, ""^https?://(www\.)?|/.*"", """")"),"indy.fr")</f>
        <v>indy.fr</v>
      </c>
      <c r="C188" s="1" t="s">
        <v>8</v>
      </c>
      <c r="D188" s="1">
        <v>5.0</v>
      </c>
      <c r="E188" s="1" t="s">
        <v>91</v>
      </c>
      <c r="F188" s="1" t="s">
        <v>10</v>
      </c>
      <c r="G188" s="5" t="str">
        <f t="array" ref="G188">XLOOKUP(B188,LFinder!A:A,LFinder!B:B,"absent des plateformes")</f>
        <v>absent des plateformes</v>
      </c>
    </row>
    <row r="189">
      <c r="A189" s="3" t="s">
        <v>271</v>
      </c>
      <c r="B189" s="4" t="str">
        <f>IFERROR(__xludf.DUMMYFUNCTION("REGEXREPLACE(A189, ""^https?://(www\.)?|/.*"", """")"),"banquepro.fr")</f>
        <v>banquepro.fr</v>
      </c>
      <c r="C189" s="1" t="s">
        <v>8</v>
      </c>
      <c r="D189" s="1">
        <v>5.0</v>
      </c>
      <c r="E189" s="1" t="s">
        <v>272</v>
      </c>
      <c r="F189" s="1" t="s">
        <v>10</v>
      </c>
      <c r="G189" s="5" t="str">
        <f t="array" ref="G189">XLOOKUP(B189,LFinder!A:A,LFinder!B:B,"absent des plateformes")</f>
        <v>absent des plateformes</v>
      </c>
    </row>
    <row r="190">
      <c r="A190" s="3" t="s">
        <v>273</v>
      </c>
      <c r="B190" s="4" t="str">
        <f>IFERROR(__xludf.DUMMYFUNCTION("REGEXREPLACE(A190, ""^https?://(www\.)?|/.*"", """")"),"mon-e-facture.com")</f>
        <v>mon-e-facture.com</v>
      </c>
      <c r="C190" s="1" t="s">
        <v>8</v>
      </c>
      <c r="D190" s="1">
        <v>5.0</v>
      </c>
      <c r="E190" s="1" t="s">
        <v>230</v>
      </c>
      <c r="F190" s="1" t="s">
        <v>10</v>
      </c>
      <c r="G190" s="5" t="str">
        <f t="array" ref="G190">XLOOKUP(B190,LFinder!A:A,LFinder!B:B,"absent des plateformes")</f>
        <v>absent des plateformes</v>
      </c>
    </row>
    <row r="191">
      <c r="A191" s="3" t="s">
        <v>274</v>
      </c>
      <c r="B191" s="4" t="str">
        <f>IFERROR(__xludf.DUMMYFUNCTION("REGEXREPLACE(A191, ""^https?://(www\.)?|/.*"", """")"),"pacx.fr")</f>
        <v>pacx.fr</v>
      </c>
      <c r="C191" s="1" t="s">
        <v>8</v>
      </c>
      <c r="D191" s="1">
        <v>4.0</v>
      </c>
      <c r="E191" s="1" t="s">
        <v>275</v>
      </c>
      <c r="F191" s="1" t="s">
        <v>10</v>
      </c>
      <c r="G191" s="5" t="str">
        <f t="array" ref="G191">XLOOKUP(B191,LFinder!A:A,LFinder!B:B,"absent des plateformes")</f>
        <v>absent des plateformes</v>
      </c>
    </row>
    <row r="192">
      <c r="A192" s="3" t="s">
        <v>276</v>
      </c>
      <c r="B192" s="4" t="str">
        <f>IFERROR(__xludf.DUMMYFUNCTION("REGEXREPLACE(A192, ""^https?://(www\.)?|/.*"", """")"),"hellomonnaie.fr")</f>
        <v>hellomonnaie.fr</v>
      </c>
      <c r="C192" s="1" t="s">
        <v>8</v>
      </c>
      <c r="D192" s="1">
        <v>4.0</v>
      </c>
      <c r="E192" s="1" t="s">
        <v>126</v>
      </c>
      <c r="F192" s="1" t="s">
        <v>10</v>
      </c>
      <c r="G192" s="5" t="str">
        <f t="array" ref="G192">XLOOKUP(B192,LFinder!A:A,LFinder!B:B,"absent des plateformes")</f>
        <v>absent des plateformes</v>
      </c>
    </row>
    <row r="193">
      <c r="A193" s="3" t="s">
        <v>277</v>
      </c>
      <c r="B193" s="4" t="str">
        <f>IFERROR(__xludf.DUMMYFUNCTION("REGEXREPLACE(A193, ""^https?://(www\.)?|/.*"", """")"),"comparatif-compta.fr")</f>
        <v>comparatif-compta.fr</v>
      </c>
      <c r="C193" s="1" t="s">
        <v>8</v>
      </c>
      <c r="D193" s="1">
        <v>4.0</v>
      </c>
      <c r="E193" s="1" t="s">
        <v>12</v>
      </c>
      <c r="F193" s="1" t="s">
        <v>10</v>
      </c>
      <c r="G193" s="5" t="str">
        <f t="array" ref="G193">XLOOKUP(B193,LFinder!A:A,LFinder!B:B,"absent des plateformes")</f>
        <v>absent des plateformes</v>
      </c>
    </row>
    <row r="194">
      <c r="A194" s="3" t="s">
        <v>278</v>
      </c>
      <c r="B194" s="4" t="str">
        <f>IFERROR(__xludf.DUMMYFUNCTION("REGEXREPLACE(A194, ""^https?://(www\.)?|/.*"", """")"),"comparateur-efacturation.fr")</f>
        <v>comparateur-efacturation.fr</v>
      </c>
      <c r="C194" s="1" t="s">
        <v>8</v>
      </c>
      <c r="D194" s="1">
        <v>4.0</v>
      </c>
      <c r="E194" s="1" t="s">
        <v>91</v>
      </c>
      <c r="F194" s="1" t="s">
        <v>10</v>
      </c>
      <c r="G194" s="5" t="str">
        <f t="array" ref="G194">XLOOKUP(B194,LFinder!A:A,LFinder!B:B,"absent des plateformes")</f>
        <v>absent des plateformes</v>
      </c>
    </row>
    <row r="195">
      <c r="A195" s="3" t="s">
        <v>279</v>
      </c>
      <c r="B195" s="4" t="str">
        <f>IFERROR(__xludf.DUMMYFUNCTION("REGEXREPLACE(A195, ""^https?://(www\.)?|/.*"", """")"),"groupe-cohortis.fr")</f>
        <v>groupe-cohortis.fr</v>
      </c>
      <c r="C195" s="1" t="s">
        <v>8</v>
      </c>
      <c r="D195" s="1">
        <v>4.0</v>
      </c>
      <c r="E195" s="1" t="s">
        <v>123</v>
      </c>
      <c r="F195" s="1" t="s">
        <v>10</v>
      </c>
      <c r="G195" s="5" t="str">
        <f t="array" ref="G195">XLOOKUP(B195,LFinder!A:A,LFinder!B:B,"absent des plateformes")</f>
        <v>absent des plateformes</v>
      </c>
    </row>
    <row r="196">
      <c r="A196" s="3" t="s">
        <v>280</v>
      </c>
      <c r="B196" s="4" t="str">
        <f>IFERROR(__xludf.DUMMYFUNCTION("REGEXREPLACE(A196, ""^https?://(www\.)?|/.*"", """")"),"companeo.com")</f>
        <v>companeo.com</v>
      </c>
      <c r="C196" s="1" t="s">
        <v>8</v>
      </c>
      <c r="D196" s="1">
        <v>4.0</v>
      </c>
      <c r="E196" s="1" t="s">
        <v>20</v>
      </c>
      <c r="F196" s="1" t="s">
        <v>10</v>
      </c>
      <c r="G196" s="5" t="str">
        <f t="array" ref="G196">XLOOKUP(B196,LFinder!A:A,LFinder!B:B,"absent des plateformes")</f>
        <v>absent des plateformes</v>
      </c>
    </row>
    <row r="197">
      <c r="A197" s="3" t="s">
        <v>281</v>
      </c>
      <c r="B197" s="4" t="str">
        <f>IFERROR(__xludf.DUMMYFUNCTION("REGEXREPLACE(A197, ""^https?://(www\.)?|/.*"", """")"),"captaincontrat.com")</f>
        <v>captaincontrat.com</v>
      </c>
      <c r="C197" s="1" t="s">
        <v>8</v>
      </c>
      <c r="D197" s="1">
        <v>4.0</v>
      </c>
      <c r="E197" s="1" t="s">
        <v>20</v>
      </c>
      <c r="F197" s="1" t="s">
        <v>10</v>
      </c>
      <c r="G197" s="5" t="str">
        <f t="array" ref="G197">XLOOKUP(B197,LFinder!A:A,LFinder!B:B,"absent des plateformes")</f>
        <v>absent des plateformes</v>
      </c>
    </row>
    <row r="198">
      <c r="A198" s="3" t="s">
        <v>282</v>
      </c>
      <c r="B198" s="4" t="str">
        <f>IFERROR(__xludf.DUMMYFUNCTION("REGEXREPLACE(A198, ""^https?://(www\.)?|/.*"", """")"),"naviso.fr")</f>
        <v>naviso.fr</v>
      </c>
      <c r="C198" s="1" t="s">
        <v>8</v>
      </c>
      <c r="D198" s="1">
        <v>4.0</v>
      </c>
      <c r="E198" s="1" t="s">
        <v>12</v>
      </c>
      <c r="F198" s="1" t="s">
        <v>10</v>
      </c>
      <c r="G198" s="5" t="str">
        <f t="array" ref="G198">XLOOKUP(B198,LFinder!A:A,LFinder!B:B,"absent des plateformes")</f>
        <v>absent des plateformes</v>
      </c>
    </row>
    <row r="199">
      <c r="A199" s="3" t="s">
        <v>283</v>
      </c>
      <c r="B199" s="4" t="str">
        <f>IFERROR(__xludf.DUMMYFUNCTION("REGEXREPLACE(A199, ""^https?://(www\.)?|/.*"", """")"),"go.sellsy.com")</f>
        <v>go.sellsy.com</v>
      </c>
      <c r="C199" s="1" t="s">
        <v>8</v>
      </c>
      <c r="D199" s="1">
        <v>4.0</v>
      </c>
      <c r="E199" s="1" t="s">
        <v>91</v>
      </c>
      <c r="F199" s="1" t="s">
        <v>10</v>
      </c>
      <c r="G199" s="5" t="str">
        <f t="array" ref="G199">XLOOKUP(B199,LFinder!A:A,LFinder!B:B,"absent des plateformes")</f>
        <v>absent des plateformes</v>
      </c>
    </row>
    <row r="200">
      <c r="A200" s="3" t="s">
        <v>284</v>
      </c>
      <c r="B200" s="4" t="str">
        <f>IFERROR(__xludf.DUMMYFUNCTION("REGEXREPLACE(A200, ""^https?://(www\.)?|/.*"", """")"),"loptimiste.fr")</f>
        <v>loptimiste.fr</v>
      </c>
      <c r="C200" s="1" t="s">
        <v>8</v>
      </c>
      <c r="D200" s="1">
        <v>4.0</v>
      </c>
      <c r="E200" s="1" t="s">
        <v>285</v>
      </c>
      <c r="F200" s="1" t="s">
        <v>10</v>
      </c>
      <c r="G200" s="5" t="str">
        <f t="array" ref="G200">XLOOKUP(B200,LFinder!A:A,LFinder!B:B,"absent des plateformes")</f>
        <v>absent des plateformes</v>
      </c>
    </row>
    <row r="201">
      <c r="A201" s="3" t="s">
        <v>286</v>
      </c>
      <c r="B201" s="4" t="str">
        <f>IFERROR(__xludf.DUMMYFUNCTION("REGEXREPLACE(A201, ""^https?://(www\.)?|/.*"", """")"),"obat.fr")</f>
        <v>obat.fr</v>
      </c>
      <c r="C201" s="1" t="s">
        <v>8</v>
      </c>
      <c r="D201" s="1">
        <v>4.0</v>
      </c>
      <c r="E201" s="1" t="s">
        <v>151</v>
      </c>
      <c r="F201" s="1" t="s">
        <v>54</v>
      </c>
      <c r="G201" s="5" t="str">
        <f t="array" ref="G201">XLOOKUP(B201,LFinder!A:A,LFinder!B:B,"absent des plateformes")</f>
        <v>absent des plateformes</v>
      </c>
    </row>
    <row r="202">
      <c r="A202" s="3" t="s">
        <v>287</v>
      </c>
      <c r="B202" s="4" t="str">
        <f>IFERROR(__xludf.DUMMYFUNCTION("REGEXREPLACE(A202, ""^https?://(www\.)?|/.*"", """")"),"obat.fr")</f>
        <v>obat.fr</v>
      </c>
      <c r="C202" s="1" t="s">
        <v>8</v>
      </c>
      <c r="D202" s="1">
        <v>4.0</v>
      </c>
      <c r="E202" s="1" t="s">
        <v>91</v>
      </c>
      <c r="F202" s="1" t="s">
        <v>10</v>
      </c>
      <c r="G202" s="5" t="str">
        <f t="array" ref="G202">XLOOKUP(B202,LFinder!A:A,LFinder!B:B,"absent des plateformes")</f>
        <v>absent des plateformes</v>
      </c>
    </row>
    <row r="203">
      <c r="A203" s="3" t="s">
        <v>288</v>
      </c>
      <c r="B203" s="4" t="str">
        <f>IFERROR(__xludf.DUMMYFUNCTION("REGEXREPLACE(A203, ""^https?://(www\.)?|/.*"", """")"),"aeterniapatrimoine.fr")</f>
        <v>aeterniapatrimoine.fr</v>
      </c>
      <c r="C203" s="1" t="s">
        <v>8</v>
      </c>
      <c r="D203" s="1">
        <v>4.0</v>
      </c>
      <c r="E203" s="1" t="s">
        <v>75</v>
      </c>
      <c r="F203" s="1" t="s">
        <v>10</v>
      </c>
      <c r="G203" s="5" t="str">
        <f t="array" ref="G203">XLOOKUP(B203,LFinder!A:A,LFinder!B:B,"absent des plateformes")</f>
        <v>absent des plateformes</v>
      </c>
    </row>
    <row r="204">
      <c r="A204" s="3" t="s">
        <v>289</v>
      </c>
      <c r="B204" s="4" t="str">
        <f>IFERROR(__xludf.DUMMYFUNCTION("REGEXREPLACE(A204, ""^https?://(www\.)?|/.*"", """")"),"gestion-patrimoine.finance")</f>
        <v>gestion-patrimoine.finance</v>
      </c>
      <c r="C204" s="1" t="s">
        <v>8</v>
      </c>
      <c r="D204" s="1">
        <v>4.0</v>
      </c>
      <c r="E204" s="1" t="s">
        <v>75</v>
      </c>
      <c r="F204" s="1" t="s">
        <v>10</v>
      </c>
      <c r="G204" s="5" t="str">
        <f t="array" ref="G204">XLOOKUP(B204,LFinder!A:A,LFinder!B:B,"absent des plateformes")</f>
        <v>absent des plateformes</v>
      </c>
    </row>
    <row r="205">
      <c r="A205" s="3" t="s">
        <v>290</v>
      </c>
      <c r="B205" s="4" t="str">
        <f>IFERROR(__xludf.DUMMYFUNCTION("REGEXREPLACE(A205, ""^https?://(www\.)?|/.*"", """")"),"l-expert-comptable.com")</f>
        <v>l-expert-comptable.com</v>
      </c>
      <c r="C205" s="1" t="s">
        <v>8</v>
      </c>
      <c r="D205" s="1">
        <v>4.0</v>
      </c>
      <c r="E205" s="1" t="s">
        <v>20</v>
      </c>
      <c r="F205" s="1" t="s">
        <v>10</v>
      </c>
      <c r="G205" s="5" t="str">
        <f t="array" ref="G205">XLOOKUP(B205,LFinder!A:A,LFinder!B:B,"absent des plateformes")</f>
        <v>absent des plateformes</v>
      </c>
    </row>
    <row r="206">
      <c r="A206" s="3" t="s">
        <v>291</v>
      </c>
      <c r="B206" s="4" t="str">
        <f>IFERROR(__xludf.DUMMYFUNCTION("REGEXREPLACE(A206, ""^https?://(www\.)?|/.*"", """")"),"l-expert-comptable.com")</f>
        <v>l-expert-comptable.com</v>
      </c>
      <c r="C206" s="1" t="s">
        <v>8</v>
      </c>
      <c r="D206" s="1">
        <v>4.0</v>
      </c>
      <c r="E206" s="1" t="s">
        <v>292</v>
      </c>
      <c r="F206" s="1" t="s">
        <v>10</v>
      </c>
      <c r="G206" s="5" t="str">
        <f t="array" ref="G206">XLOOKUP(B206,LFinder!A:A,LFinder!B:B,"absent des plateformes")</f>
        <v>absent des plateformes</v>
      </c>
    </row>
    <row r="207">
      <c r="A207" s="3" t="s">
        <v>293</v>
      </c>
      <c r="B207" s="4" t="str">
        <f>IFERROR(__xludf.DUMMYFUNCTION("REGEXREPLACE(A207, ""^https?://(www\.)?|/.*"", """")"),"tgs-france.fr")</f>
        <v>tgs-france.fr</v>
      </c>
      <c r="C207" s="1" t="s">
        <v>8</v>
      </c>
      <c r="D207" s="1">
        <v>4.0</v>
      </c>
      <c r="E207" s="1" t="s">
        <v>285</v>
      </c>
      <c r="F207" s="1" t="s">
        <v>10</v>
      </c>
      <c r="G207" s="5" t="str">
        <f t="array" ref="G207">XLOOKUP(B207,LFinder!A:A,LFinder!B:B,"absent des plateformes")</f>
        <v>absent des plateformes</v>
      </c>
    </row>
    <row r="208">
      <c r="A208" s="3" t="s">
        <v>294</v>
      </c>
      <c r="B208" s="4" t="str">
        <f>IFERROR(__xludf.DUMMYFUNCTION("REGEXREPLACE(A208, ""^https?://(www\.)?|/.*"", """")"),"coover.fr")</f>
        <v>coover.fr</v>
      </c>
      <c r="C208" s="1" t="s">
        <v>8</v>
      </c>
      <c r="D208" s="1">
        <v>4.0</v>
      </c>
      <c r="E208" s="1" t="s">
        <v>295</v>
      </c>
      <c r="F208" s="1" t="s">
        <v>10</v>
      </c>
      <c r="G208" s="5" t="str">
        <f t="array" ref="G208">XLOOKUP(B208,LFinder!A:A,LFinder!B:B,"absent des plateformes")</f>
        <v>absent des plateformes</v>
      </c>
    </row>
    <row r="209">
      <c r="A209" s="3" t="s">
        <v>296</v>
      </c>
      <c r="B209" s="4" t="str">
        <f>IFERROR(__xludf.DUMMYFUNCTION("REGEXREPLACE(A209, ""^https?://(www\.)?|/.*"", """")"),"keobiz.fr")</f>
        <v>keobiz.fr</v>
      </c>
      <c r="C209" s="1" t="s">
        <v>8</v>
      </c>
      <c r="D209" s="1">
        <v>4.0</v>
      </c>
      <c r="E209" s="1" t="s">
        <v>20</v>
      </c>
      <c r="F209" s="1" t="s">
        <v>10</v>
      </c>
      <c r="G209" s="5" t="str">
        <f t="array" ref="G209">XLOOKUP(B209,LFinder!A:A,LFinder!B:B,"absent des plateformes")</f>
        <v>absent des plateformes</v>
      </c>
    </row>
    <row r="210">
      <c r="A210" s="3" t="s">
        <v>297</v>
      </c>
      <c r="B210" s="4" t="str">
        <f>IFERROR(__xludf.DUMMYFUNCTION("REGEXREPLACE(A210, ""^https?://(www\.)?|/.*"", """")"),"detective-banque.fr")</f>
        <v>detective-banque.fr</v>
      </c>
      <c r="C210" s="1" t="s">
        <v>8</v>
      </c>
      <c r="D210" s="1">
        <v>4.0</v>
      </c>
      <c r="E210" s="1" t="s">
        <v>126</v>
      </c>
      <c r="F210" s="1" t="s">
        <v>54</v>
      </c>
      <c r="G210" s="5" t="str">
        <f t="array" ref="G210">XLOOKUP(B210,LFinder!A:A,LFinder!B:B,"absent des plateformes")</f>
        <v>absent des plateformes</v>
      </c>
    </row>
    <row r="211">
      <c r="A211" s="3" t="s">
        <v>298</v>
      </c>
      <c r="B211" s="4" t="str">
        <f>IFERROR(__xludf.DUMMYFUNCTION("REGEXREPLACE(A211, ""^https?://(www\.)?|/.*"", """")"),"detective-banque.fr")</f>
        <v>detective-banque.fr</v>
      </c>
      <c r="C211" s="1" t="s">
        <v>8</v>
      </c>
      <c r="D211" s="1">
        <v>4.0</v>
      </c>
      <c r="E211" s="1" t="s">
        <v>82</v>
      </c>
      <c r="F211" s="1" t="s">
        <v>54</v>
      </c>
      <c r="G211" s="5" t="str">
        <f t="array" ref="G211">XLOOKUP(B211,LFinder!A:A,LFinder!B:B,"absent des plateformes")</f>
        <v>absent des plateformes</v>
      </c>
    </row>
    <row r="212">
      <c r="A212" s="3" t="s">
        <v>299</v>
      </c>
      <c r="B212" s="4" t="str">
        <f>IFERROR(__xludf.DUMMYFUNCTION("REGEXREPLACE(A212, ""^https?://(www\.)?|/.*"", """")"),"detective-banque.fr")</f>
        <v>detective-banque.fr</v>
      </c>
      <c r="C212" s="1" t="s">
        <v>8</v>
      </c>
      <c r="D212" s="1">
        <v>4.0</v>
      </c>
      <c r="E212" s="1" t="s">
        <v>106</v>
      </c>
      <c r="F212" s="1" t="s">
        <v>54</v>
      </c>
      <c r="G212" s="5" t="str">
        <f t="array" ref="G212">XLOOKUP(B212,LFinder!A:A,LFinder!B:B,"absent des plateformes")</f>
        <v>absent des plateformes</v>
      </c>
    </row>
    <row r="213">
      <c r="A213" s="3" t="s">
        <v>300</v>
      </c>
      <c r="B213" s="4" t="str">
        <f>IFERROR(__xludf.DUMMYFUNCTION("REGEXREPLACE(A213, ""^https?://(www\.)?|/.*"", """")"),"detective-banque.fr")</f>
        <v>detective-banque.fr</v>
      </c>
      <c r="C213" s="1" t="s">
        <v>8</v>
      </c>
      <c r="D213" s="1">
        <v>4.0</v>
      </c>
      <c r="E213" s="1" t="s">
        <v>51</v>
      </c>
      <c r="F213" s="1" t="s">
        <v>54</v>
      </c>
      <c r="G213" s="5" t="str">
        <f t="array" ref="G213">XLOOKUP(B213,LFinder!A:A,LFinder!B:B,"absent des plateformes")</f>
        <v>absent des plateformes</v>
      </c>
    </row>
    <row r="214">
      <c r="A214" s="3" t="s">
        <v>301</v>
      </c>
      <c r="B214" s="4" t="str">
        <f>IFERROR(__xludf.DUMMYFUNCTION("REGEXREPLACE(A214, ""^https?://(www\.)?|/.*"", """")"),"indy.fr")</f>
        <v>indy.fr</v>
      </c>
      <c r="C214" s="1" t="s">
        <v>8</v>
      </c>
      <c r="D214" s="1">
        <v>4.0</v>
      </c>
      <c r="E214" s="1" t="s">
        <v>18</v>
      </c>
      <c r="F214" s="1" t="s">
        <v>10</v>
      </c>
      <c r="G214" s="5" t="str">
        <f t="array" ref="G214">XLOOKUP(B214,LFinder!A:A,LFinder!B:B,"absent des plateformes")</f>
        <v>absent des plateformes</v>
      </c>
    </row>
    <row r="215">
      <c r="A215" s="3" t="s">
        <v>302</v>
      </c>
      <c r="B215" s="4" t="str">
        <f>IFERROR(__xludf.DUMMYFUNCTION("REGEXREPLACE(A215, ""^https?://(www\.)?|/.*"", """")"),"qonto.com")</f>
        <v>qonto.com</v>
      </c>
      <c r="C215" s="1" t="s">
        <v>8</v>
      </c>
      <c r="D215" s="1">
        <v>4.0</v>
      </c>
      <c r="E215" s="1" t="s">
        <v>102</v>
      </c>
      <c r="F215" s="1" t="s">
        <v>10</v>
      </c>
      <c r="G215" s="5" t="str">
        <f t="array" ref="G215">XLOOKUP(B215,LFinder!A:A,LFinder!B:B,"absent des plateformes")</f>
        <v>absent des plateformes</v>
      </c>
    </row>
    <row r="216">
      <c r="A216" s="3" t="s">
        <v>303</v>
      </c>
      <c r="B216" s="4" t="str">
        <f>IFERROR(__xludf.DUMMYFUNCTION("REGEXREPLACE(A216, ""^https?://(www\.)?|/.*"", """")"),"comparabanques.fr")</f>
        <v>comparabanques.fr</v>
      </c>
      <c r="C216" s="1" t="s">
        <v>8</v>
      </c>
      <c r="D216" s="1">
        <v>4.0</v>
      </c>
      <c r="E216" s="1" t="s">
        <v>126</v>
      </c>
      <c r="F216" s="1" t="s">
        <v>10</v>
      </c>
      <c r="G216" s="5" t="str">
        <f t="array" ref="G216">XLOOKUP(B216,LFinder!A:A,LFinder!B:B,"absent des plateformes")</f>
        <v>absent des plateformes</v>
      </c>
    </row>
    <row r="217">
      <c r="A217" s="3" t="s">
        <v>304</v>
      </c>
      <c r="B217" s="4" t="str">
        <f>IFERROR(__xludf.DUMMYFUNCTION("REGEXREPLACE(A217, ""^https?://(www\.)?|/.*"", """")"),"tenorsolutions.com")</f>
        <v>tenorsolutions.com</v>
      </c>
      <c r="C217" s="1" t="s">
        <v>8</v>
      </c>
      <c r="D217" s="1">
        <v>4.0</v>
      </c>
      <c r="E217" s="1" t="s">
        <v>66</v>
      </c>
      <c r="F217" s="1" t="s">
        <v>10</v>
      </c>
      <c r="G217" s="5" t="str">
        <f t="array" ref="G217">XLOOKUP(B217,LFinder!A:A,LFinder!B:B,"absent des plateformes")</f>
        <v>absent des plateformes</v>
      </c>
    </row>
    <row r="218">
      <c r="A218" s="3" t="s">
        <v>305</v>
      </c>
      <c r="B218" s="4" t="str">
        <f>IFERROR(__xludf.DUMMYFUNCTION("REGEXREPLACE(A218, ""^https?://(www\.)?|/.*"", """")"),"oxalys.fr")</f>
        <v>oxalys.fr</v>
      </c>
      <c r="C218" s="1" t="s">
        <v>8</v>
      </c>
      <c r="D218" s="1">
        <v>4.0</v>
      </c>
      <c r="E218" s="1" t="s">
        <v>66</v>
      </c>
      <c r="F218" s="1" t="s">
        <v>54</v>
      </c>
      <c r="G218" s="5" t="str">
        <f t="array" ref="G218">XLOOKUP(B218,LFinder!A:A,LFinder!B:B,"absent des plateformes")</f>
        <v>absent des plateformes</v>
      </c>
    </row>
    <row r="219">
      <c r="A219" s="3" t="s">
        <v>306</v>
      </c>
      <c r="B219" s="4" t="str">
        <f>IFERROR(__xludf.DUMMYFUNCTION("REGEXREPLACE(A219, ""^https?://(www\.)?|/.*"", """")"),"impots.gouv.fr")</f>
        <v>impots.gouv.fr</v>
      </c>
      <c r="C219" s="1" t="s">
        <v>8</v>
      </c>
      <c r="D219" s="1">
        <v>4.0</v>
      </c>
      <c r="E219" s="1" t="s">
        <v>66</v>
      </c>
      <c r="F219" s="1" t="s">
        <v>10</v>
      </c>
      <c r="G219" s="5" t="str">
        <f t="array" ref="G219">XLOOKUP(B219,LFinder!A:A,LFinder!B:B,"absent des plateformes")</f>
        <v>absent des plateformes</v>
      </c>
    </row>
    <row r="220">
      <c r="A220" s="3" t="s">
        <v>307</v>
      </c>
      <c r="B220" s="4" t="str">
        <f>IFERROR(__xludf.DUMMYFUNCTION("REGEXREPLACE(A220, ""^https?://(www\.)?|/.*"", """")"),"ct-retraite.fr")</f>
        <v>ct-retraite.fr</v>
      </c>
      <c r="C220" s="1" t="s">
        <v>8</v>
      </c>
      <c r="D220" s="1">
        <v>3.0</v>
      </c>
      <c r="E220" s="1" t="s">
        <v>308</v>
      </c>
      <c r="F220" s="1" t="s">
        <v>10</v>
      </c>
      <c r="G220" s="5" t="str">
        <f t="array" ref="G220">XLOOKUP(B220,LFinder!A:A,LFinder!B:B,"absent des plateformes")</f>
        <v>absent des plateformes</v>
      </c>
    </row>
    <row r="221">
      <c r="A221" s="3" t="s">
        <v>309</v>
      </c>
      <c r="B221" s="4" t="str">
        <f>IFERROR(__xludf.DUMMYFUNCTION("REGEXREPLACE(A221, ""^https?://(www\.)?|/.*"", """")"),"retraiteconseil.com")</f>
        <v>retraiteconseil.com</v>
      </c>
      <c r="C221" s="1" t="s">
        <v>8</v>
      </c>
      <c r="D221" s="1">
        <v>3.0</v>
      </c>
      <c r="E221" s="1" t="s">
        <v>200</v>
      </c>
      <c r="F221" s="1" t="s">
        <v>10</v>
      </c>
      <c r="G221" s="5" t="str">
        <f t="array" ref="G221">XLOOKUP(B221,LFinder!A:A,LFinder!B:B,"absent des plateformes")</f>
        <v>absent des plateformes</v>
      </c>
    </row>
    <row r="222">
      <c r="A222" s="3" t="s">
        <v>310</v>
      </c>
      <c r="B222" s="4" t="str">
        <f>IFERROR(__xludf.DUMMYFUNCTION("REGEXREPLACE(A222, ""^https?://(www\.)?|/.*"", """")"),"banquebcp.fr")</f>
        <v>banquebcp.fr</v>
      </c>
      <c r="C222" s="1" t="s">
        <v>8</v>
      </c>
      <c r="D222" s="1">
        <v>3.0</v>
      </c>
      <c r="E222" s="1" t="s">
        <v>82</v>
      </c>
      <c r="F222" s="1" t="s">
        <v>10</v>
      </c>
      <c r="G222" s="5" t="str">
        <f t="array" ref="G222">XLOOKUP(B222,LFinder!A:A,LFinder!B:B,"absent des plateformes")</f>
        <v>absent des plateformes</v>
      </c>
    </row>
    <row r="223">
      <c r="A223" s="3" t="s">
        <v>311</v>
      </c>
      <c r="B223" s="4" t="str">
        <f>IFERROR(__xludf.DUMMYFUNCTION("REGEXREPLACE(A223, ""^https?://(www\.)?|/.*"", """")"),"facturation-electronique-comparatif.fr")</f>
        <v>facturation-electronique-comparatif.fr</v>
      </c>
      <c r="C223" s="1" t="s">
        <v>8</v>
      </c>
      <c r="D223" s="1">
        <v>3.0</v>
      </c>
      <c r="E223" s="1" t="s">
        <v>82</v>
      </c>
      <c r="F223" s="1" t="s">
        <v>10</v>
      </c>
      <c r="G223" s="5" t="str">
        <f t="array" ref="G223">XLOOKUP(B223,LFinder!A:A,LFinder!B:B,"absent des plateformes")</f>
        <v>absent des plateformes</v>
      </c>
    </row>
    <row r="224">
      <c r="A224" s="3" t="s">
        <v>312</v>
      </c>
      <c r="B224" s="4" t="str">
        <f>IFERROR(__xludf.DUMMYFUNCTION("REGEXREPLACE(A224, ""^https?://(www\.)?|/.*"", """")"),"banque.com")</f>
        <v>banque.com</v>
      </c>
      <c r="C224" s="1" t="s">
        <v>8</v>
      </c>
      <c r="D224" s="1">
        <v>3.0</v>
      </c>
      <c r="E224" s="1" t="s">
        <v>126</v>
      </c>
      <c r="F224" s="1" t="s">
        <v>10</v>
      </c>
      <c r="G224" s="5" t="str">
        <f t="array" ref="G224">XLOOKUP(B224,LFinder!A:A,LFinder!B:B,"absent des plateformes")</f>
        <v>absent des plateformes</v>
      </c>
    </row>
    <row r="225">
      <c r="A225" s="3" t="s">
        <v>313</v>
      </c>
      <c r="B225" s="4" t="str">
        <f>IFERROR(__xludf.DUMMYFUNCTION("REGEXREPLACE(A225, ""^https?://(www\.)?|/.*"", """")"),"talenteum.com")</f>
        <v>talenteum.com</v>
      </c>
      <c r="C225" s="1" t="s">
        <v>8</v>
      </c>
      <c r="D225" s="1">
        <v>3.0</v>
      </c>
      <c r="E225" s="1" t="s">
        <v>20</v>
      </c>
      <c r="F225" s="1" t="s">
        <v>10</v>
      </c>
      <c r="G225" s="5" t="str">
        <f t="array" ref="G225">XLOOKUP(B225,LFinder!A:A,LFinder!B:B,"absent des plateformes")</f>
        <v>absent des plateformes</v>
      </c>
    </row>
    <row r="226">
      <c r="A226" s="3" t="s">
        <v>314</v>
      </c>
      <c r="B226" s="4" t="str">
        <f>IFERROR(__xludf.DUMMYFUNCTION("REGEXREPLACE(A226, ""^https?://(www\.)?|/.*"", """")"),"data.gouv.fr")</f>
        <v>data.gouv.fr</v>
      </c>
      <c r="C226" s="1" t="s">
        <v>8</v>
      </c>
      <c r="D226" s="1">
        <v>3.0</v>
      </c>
      <c r="E226" s="1" t="s">
        <v>33</v>
      </c>
      <c r="F226" s="1" t="s">
        <v>10</v>
      </c>
      <c r="G226" s="5" t="str">
        <f t="array" ref="G226">XLOOKUP(B226,LFinder!A:A,LFinder!B:B,"absent des plateformes")</f>
        <v>absent des plateformes</v>
      </c>
    </row>
    <row r="227">
      <c r="A227" s="3" t="s">
        <v>315</v>
      </c>
      <c r="B227" s="4" t="str">
        <f>IFERROR(__xludf.DUMMYFUNCTION("REGEXREPLACE(A227, ""^https?://(www\.)?|/.*"", """")"),"lecoindesentrepreneurs.fr")</f>
        <v>lecoindesentrepreneurs.fr</v>
      </c>
      <c r="C227" s="1" t="s">
        <v>8</v>
      </c>
      <c r="D227" s="1">
        <v>3.0</v>
      </c>
      <c r="E227" s="1" t="s">
        <v>316</v>
      </c>
      <c r="F227" s="1" t="s">
        <v>10</v>
      </c>
      <c r="G227" s="5" t="str">
        <f t="array" ref="G227">XLOOKUP(B227,LFinder!A:A,LFinder!B:B,"absent des plateformes")</f>
        <v>absent des plateformes</v>
      </c>
    </row>
    <row r="228">
      <c r="A228" s="3" t="s">
        <v>317</v>
      </c>
      <c r="B228" s="4" t="str">
        <f>IFERROR(__xludf.DUMMYFUNCTION("REGEXREPLACE(A228, ""^https?://(www\.)?|/.*"", """")"),"1jeune1solution.gouv.fr")</f>
        <v>1jeune1solution.gouv.fr</v>
      </c>
      <c r="C228" s="1" t="s">
        <v>8</v>
      </c>
      <c r="D228" s="1">
        <v>3.0</v>
      </c>
      <c r="E228" s="1" t="s">
        <v>316</v>
      </c>
      <c r="F228" s="1" t="s">
        <v>10</v>
      </c>
      <c r="G228" s="5" t="str">
        <f t="array" ref="G228">XLOOKUP(B228,LFinder!A:A,LFinder!B:B,"absent des plateformes")</f>
        <v>absent des plateformes</v>
      </c>
    </row>
    <row r="229">
      <c r="A229" s="3" t="s">
        <v>318</v>
      </c>
      <c r="B229" s="4" t="str">
        <f>IFERROR(__xludf.DUMMYFUNCTION("REGEXREPLACE(A229, ""^https?://(www\.)?|/.*"", """")"),"auto-entrepreneur.fr")</f>
        <v>auto-entrepreneur.fr</v>
      </c>
      <c r="C229" s="1" t="s">
        <v>8</v>
      </c>
      <c r="D229" s="1">
        <v>3.0</v>
      </c>
      <c r="E229" s="1" t="s">
        <v>316</v>
      </c>
      <c r="F229" s="1" t="s">
        <v>10</v>
      </c>
      <c r="G229" s="5" t="str">
        <f t="array" ref="G229">XLOOKUP(B229,LFinder!A:A,LFinder!B:B,"absent des plateformes")</f>
        <v>absent des plateformes</v>
      </c>
    </row>
    <row r="230">
      <c r="A230" s="3" t="s">
        <v>319</v>
      </c>
      <c r="B230" s="4" t="str">
        <f>IFERROR(__xludf.DUMMYFUNCTION("REGEXREPLACE(A230, ""^https?://(www\.)?|/.*"", """")"),"sinvestir.fr")</f>
        <v>sinvestir.fr</v>
      </c>
      <c r="C230" s="1" t="s">
        <v>8</v>
      </c>
      <c r="D230" s="1">
        <v>3.0</v>
      </c>
      <c r="E230" s="1" t="s">
        <v>320</v>
      </c>
      <c r="F230" s="1" t="s">
        <v>10</v>
      </c>
      <c r="G230" s="5" t="str">
        <f t="array" ref="G230">XLOOKUP(B230,LFinder!A:A,LFinder!B:B,"absent des plateformes")</f>
        <v>absent des plateformes</v>
      </c>
    </row>
    <row r="231">
      <c r="A231" s="3" t="s">
        <v>321</v>
      </c>
      <c r="B231" s="4" t="str">
        <f>IFERROR(__xludf.DUMMYFUNCTION("REGEXREPLACE(A231, ""^https?://(www\.)?|/.*"", """")"),"legalplace.fr")</f>
        <v>legalplace.fr</v>
      </c>
      <c r="C231" s="1" t="s">
        <v>8</v>
      </c>
      <c r="D231" s="1">
        <v>3.0</v>
      </c>
      <c r="E231" s="1" t="s">
        <v>316</v>
      </c>
      <c r="F231" s="1" t="s">
        <v>10</v>
      </c>
      <c r="G231" s="5" t="str">
        <f t="array" ref="G231">XLOOKUP(B231,LFinder!A:A,LFinder!B:B,"absent des plateformes")</f>
        <v>absent des plateformes</v>
      </c>
    </row>
    <row r="232">
      <c r="A232" s="3" t="s">
        <v>322</v>
      </c>
      <c r="B232" s="4" t="str">
        <f>IFERROR(__xludf.DUMMYFUNCTION("REGEXREPLACE(A232, ""^https?://(www\.)?|/.*"", """")"),"optalis-connect.com")</f>
        <v>optalis-connect.com</v>
      </c>
      <c r="C232" s="1" t="s">
        <v>8</v>
      </c>
      <c r="D232" s="1">
        <v>3.0</v>
      </c>
      <c r="E232" s="1" t="s">
        <v>323</v>
      </c>
      <c r="F232" s="1" t="s">
        <v>10</v>
      </c>
      <c r="G232" s="5" t="str">
        <f t="array" ref="G232">XLOOKUP(B232,LFinder!A:A,LFinder!B:B,"absent des plateformes")</f>
        <v>absent des plateformes</v>
      </c>
    </row>
    <row r="233">
      <c r="A233" s="3" t="s">
        <v>324</v>
      </c>
      <c r="B233" s="4" t="str">
        <f>IFERROR(__xludf.DUMMYFUNCTION("REGEXREPLACE(A233, ""^https?://(www\.)?|/.*"", """")"),"capeos.fr")</f>
        <v>capeos.fr</v>
      </c>
      <c r="C233" s="1" t="s">
        <v>8</v>
      </c>
      <c r="D233" s="1">
        <v>3.0</v>
      </c>
      <c r="E233" s="1" t="s">
        <v>325</v>
      </c>
      <c r="F233" s="1" t="s">
        <v>10</v>
      </c>
      <c r="G233" s="5" t="str">
        <f t="array" ref="G233">XLOOKUP(B233,LFinder!A:A,LFinder!B:B,"absent des plateformes")</f>
        <v>absent des plateformes</v>
      </c>
    </row>
    <row r="234">
      <c r="A234" s="3" t="s">
        <v>326</v>
      </c>
      <c r="B234" s="4" t="str">
        <f>IFERROR(__xludf.DUMMYFUNCTION("REGEXREPLACE(A234, ""^https?://(www\.)?|/.*"", """")"),"acompli.fr")</f>
        <v>acompli.fr</v>
      </c>
      <c r="C234" s="1" t="s">
        <v>8</v>
      </c>
      <c r="D234" s="1">
        <v>3.0</v>
      </c>
      <c r="E234" s="1" t="s">
        <v>327</v>
      </c>
      <c r="F234" s="1" t="s">
        <v>10</v>
      </c>
      <c r="G234" s="5" t="str">
        <f t="array" ref="G234">XLOOKUP(B234,LFinder!A:A,LFinder!B:B,"absent des plateformes")</f>
        <v>absent des plateformes</v>
      </c>
    </row>
    <row r="235">
      <c r="A235" s="3" t="s">
        <v>328</v>
      </c>
      <c r="B235" s="4" t="str">
        <f>IFERROR(__xludf.DUMMYFUNCTION("REGEXREPLACE(A235, ""^https?://(www\.)?|/.*"", """")"),"comparateur-efacturation.fr")</f>
        <v>comparateur-efacturation.fr</v>
      </c>
      <c r="C235" s="1" t="s">
        <v>8</v>
      </c>
      <c r="D235" s="1">
        <v>3.0</v>
      </c>
      <c r="E235" s="1" t="s">
        <v>91</v>
      </c>
      <c r="F235" s="1" t="s">
        <v>10</v>
      </c>
      <c r="G235" s="5" t="str">
        <f t="array" ref="G235">XLOOKUP(B235,LFinder!A:A,LFinder!B:B,"absent des plateformes")</f>
        <v>absent des plateformes</v>
      </c>
    </row>
    <row r="236">
      <c r="A236" s="3" t="s">
        <v>329</v>
      </c>
      <c r="B236" s="4" t="str">
        <f>IFERROR(__xludf.DUMMYFUNCTION("REGEXREPLACE(A236, ""^https?://(www\.)?|/.*"", """")"),"comparateur-efacturation.fr")</f>
        <v>comparateur-efacturation.fr</v>
      </c>
      <c r="C236" s="1" t="s">
        <v>8</v>
      </c>
      <c r="D236" s="1">
        <v>3.0</v>
      </c>
      <c r="E236" s="1" t="s">
        <v>59</v>
      </c>
      <c r="F236" s="1" t="s">
        <v>10</v>
      </c>
      <c r="G236" s="5" t="str">
        <f t="array" ref="G236">XLOOKUP(B236,LFinder!A:A,LFinder!B:B,"absent des plateformes")</f>
        <v>absent des plateformes</v>
      </c>
    </row>
    <row r="237">
      <c r="A237" s="3" t="s">
        <v>330</v>
      </c>
      <c r="B237" s="4" t="str">
        <f>IFERROR(__xludf.DUMMYFUNCTION("REGEXREPLACE(A237, ""^https?://(www\.)?|/.*"", """")"),"axiomeassocies.fr")</f>
        <v>axiomeassocies.fr</v>
      </c>
      <c r="C237" s="1" t="s">
        <v>8</v>
      </c>
      <c r="D237" s="1">
        <v>3.0</v>
      </c>
      <c r="E237" s="1" t="s">
        <v>228</v>
      </c>
      <c r="F237" s="1" t="s">
        <v>10</v>
      </c>
      <c r="G237" s="5" t="str">
        <f t="array" ref="G237">XLOOKUP(B237,LFinder!A:A,LFinder!B:B,"absent des plateformes")</f>
        <v>absent des plateformes</v>
      </c>
    </row>
    <row r="238">
      <c r="A238" s="3" t="s">
        <v>331</v>
      </c>
      <c r="B238" s="4" t="str">
        <f>IFERROR(__xludf.DUMMYFUNCTION("REGEXREPLACE(A238, ""^https?://(www\.)?|/.*"", """")"),"companeo.com")</f>
        <v>companeo.com</v>
      </c>
      <c r="C238" s="1" t="s">
        <v>8</v>
      </c>
      <c r="D238" s="1">
        <v>3.0</v>
      </c>
      <c r="E238" s="1" t="s">
        <v>20</v>
      </c>
      <c r="F238" s="1" t="s">
        <v>10</v>
      </c>
      <c r="G238" s="5" t="str">
        <f t="array" ref="G238">XLOOKUP(B238,LFinder!A:A,LFinder!B:B,"absent des plateformes")</f>
        <v>absent des plateformes</v>
      </c>
    </row>
    <row r="239">
      <c r="A239" s="3" t="s">
        <v>332</v>
      </c>
      <c r="B239" s="4" t="str">
        <f>IFERROR(__xludf.DUMMYFUNCTION("REGEXREPLACE(A239, ""^https?://(www\.)?|/.*"", """")"),"foxeet.fr")</f>
        <v>foxeet.fr</v>
      </c>
      <c r="C239" s="1" t="s">
        <v>8</v>
      </c>
      <c r="D239" s="1">
        <v>3.0</v>
      </c>
      <c r="E239" s="1" t="s">
        <v>33</v>
      </c>
      <c r="F239" s="1" t="s">
        <v>10</v>
      </c>
      <c r="G239" s="5" t="str">
        <f t="array" ref="G239">XLOOKUP(B239,LFinder!A:A,LFinder!B:B,"absent des plateformes")</f>
        <v>absent des plateformes</v>
      </c>
    </row>
    <row r="240">
      <c r="A240" s="3" t="s">
        <v>333</v>
      </c>
      <c r="B240" s="4" t="str">
        <f>IFERROR(__xludf.DUMMYFUNCTION("REGEXREPLACE(A240, ""^https?://(www\.)?|/.*"", """")"),"analyse-retraite.fr")</f>
        <v>analyse-retraite.fr</v>
      </c>
      <c r="C240" s="1" t="s">
        <v>8</v>
      </c>
      <c r="D240" s="1">
        <v>3.0</v>
      </c>
      <c r="E240" s="1" t="s">
        <v>61</v>
      </c>
      <c r="F240" s="1" t="s">
        <v>10</v>
      </c>
      <c r="G240" s="5" t="str">
        <f t="array" ref="G240">XLOOKUP(B240,LFinder!A:A,LFinder!B:B,"absent des plateformes")</f>
        <v>absent des plateformes</v>
      </c>
    </row>
    <row r="241">
      <c r="A241" s="3" t="s">
        <v>334</v>
      </c>
      <c r="B241" s="4" t="str">
        <f>IFERROR(__xludf.DUMMYFUNCTION("REGEXREPLACE(A241, ""^https?://(www\.)?|/.*"", """")"),"dext.com")</f>
        <v>dext.com</v>
      </c>
      <c r="C241" s="1" t="s">
        <v>8</v>
      </c>
      <c r="D241" s="1">
        <v>3.0</v>
      </c>
      <c r="E241" s="1" t="s">
        <v>335</v>
      </c>
      <c r="F241" s="1" t="s">
        <v>10</v>
      </c>
      <c r="G241" s="5" t="str">
        <f t="array" ref="G241">XLOOKUP(B241,LFinder!A:A,LFinder!B:B,"absent des plateformes")</f>
        <v>absent des plateformes</v>
      </c>
    </row>
    <row r="242">
      <c r="A242" s="3" t="s">
        <v>336</v>
      </c>
      <c r="B242" s="4" t="str">
        <f>IFERROR(__xludf.DUMMYFUNCTION("REGEXREPLACE(A242, ""^https?://(www\.)?|/.*"", """")"),"bdo.fr")</f>
        <v>bdo.fr</v>
      </c>
      <c r="C242" s="1" t="s">
        <v>8</v>
      </c>
      <c r="D242" s="1">
        <v>3.0</v>
      </c>
      <c r="E242" s="1" t="s">
        <v>337</v>
      </c>
      <c r="F242" s="1" t="s">
        <v>10</v>
      </c>
      <c r="G242" s="5" t="str">
        <f t="array" ref="G242">XLOOKUP(B242,LFinder!A:A,LFinder!B:B,"absent des plateformes")</f>
        <v>absent des plateformes</v>
      </c>
    </row>
    <row r="243">
      <c r="A243" s="3" t="s">
        <v>338</v>
      </c>
      <c r="B243" s="4" t="str">
        <f>IFERROR(__xludf.DUMMYFUNCTION("REGEXREPLACE(A243, ""^https?://(www\.)?|/.*"", """")"),"pca-patrimoine.fr")</f>
        <v>pca-patrimoine.fr</v>
      </c>
      <c r="C243" s="1" t="s">
        <v>8</v>
      </c>
      <c r="D243" s="1">
        <v>3.0</v>
      </c>
      <c r="E243" s="1" t="s">
        <v>75</v>
      </c>
      <c r="F243" s="1" t="s">
        <v>10</v>
      </c>
      <c r="G243" s="5" t="str">
        <f t="array" ref="G243">XLOOKUP(B243,LFinder!A:A,LFinder!B:B,"absent des plateformes")</f>
        <v>absent des plateformes</v>
      </c>
    </row>
    <row r="244">
      <c r="A244" s="3" t="s">
        <v>339</v>
      </c>
      <c r="B244" s="4" t="str">
        <f>IFERROR(__xludf.DUMMYFUNCTION("REGEXREPLACE(A244, ""^https?://(www\.)?|/.*"", """")"),"pluriel-conseils.fr")</f>
        <v>pluriel-conseils.fr</v>
      </c>
      <c r="C244" s="1" t="s">
        <v>8</v>
      </c>
      <c r="D244" s="1">
        <v>3.0</v>
      </c>
      <c r="E244" s="1" t="s">
        <v>340</v>
      </c>
      <c r="F244" s="1" t="s">
        <v>10</v>
      </c>
      <c r="G244" s="5" t="str">
        <f t="array" ref="G244">XLOOKUP(B244,LFinder!A:A,LFinder!B:B,"absent des plateformes")</f>
        <v>absent des plateformes</v>
      </c>
    </row>
    <row r="245">
      <c r="A245" s="3" t="s">
        <v>341</v>
      </c>
      <c r="B245" s="4" t="str">
        <f>IFERROR(__xludf.DUMMYFUNCTION("REGEXREPLACE(A245, ""^https?://(www\.)?|/.*"", """")"),"heropay.eu")</f>
        <v>heropay.eu</v>
      </c>
      <c r="C245" s="1" t="s">
        <v>8</v>
      </c>
      <c r="D245" s="1">
        <v>3.0</v>
      </c>
      <c r="E245" s="1" t="s">
        <v>342</v>
      </c>
      <c r="F245" s="1" t="s">
        <v>10</v>
      </c>
      <c r="G245" s="5" t="str">
        <f t="array" ref="G245">XLOOKUP(B245,LFinder!A:A,LFinder!B:B,"absent des plateformes")</f>
        <v>absent des plateformes</v>
      </c>
    </row>
    <row r="246">
      <c r="A246" s="3" t="s">
        <v>343</v>
      </c>
      <c r="B246" s="4" t="str">
        <f>IFERROR(__xludf.DUMMYFUNCTION("REGEXREPLACE(A246, ""^https?://(www\.)?|/.*"", """")"),"entreprendre.service-public.gouv.fr")</f>
        <v>entreprendre.service-public.gouv.fr</v>
      </c>
      <c r="C246" s="1" t="s">
        <v>8</v>
      </c>
      <c r="D246" s="1">
        <v>3.0</v>
      </c>
      <c r="E246" s="1" t="s">
        <v>316</v>
      </c>
      <c r="F246" s="1" t="s">
        <v>10</v>
      </c>
      <c r="G246" s="5" t="str">
        <f t="array" ref="G246">XLOOKUP(B246,LFinder!A:A,LFinder!B:B,"absent des plateformes")</f>
        <v>absent des plateformes</v>
      </c>
    </row>
    <row r="247">
      <c r="A247" s="3" t="s">
        <v>344</v>
      </c>
      <c r="B247" s="4" t="str">
        <f>IFERROR(__xludf.DUMMYFUNCTION("REGEXREPLACE(A247, ""^https?://(www\.)?|/.*"", """")"),"entreprendre.service-public.gouv.fr")</f>
        <v>entreprendre.service-public.gouv.fr</v>
      </c>
      <c r="C247" s="1" t="s">
        <v>8</v>
      </c>
      <c r="D247" s="1">
        <v>3.0</v>
      </c>
      <c r="E247" s="1" t="s">
        <v>33</v>
      </c>
      <c r="F247" s="1" t="s">
        <v>10</v>
      </c>
      <c r="G247" s="5" t="str">
        <f t="array" ref="G247">XLOOKUP(B247,LFinder!A:A,LFinder!B:B,"absent des plateformes")</f>
        <v>absent des plateformes</v>
      </c>
    </row>
    <row r="248">
      <c r="A248" s="3" t="s">
        <v>345</v>
      </c>
      <c r="B248" s="4" t="str">
        <f>IFERROR(__xludf.DUMMYFUNCTION("REGEXREPLACE(A248, ""^https?://(www\.)?|/.*"", """")"),"factpulse.fr")</f>
        <v>factpulse.fr</v>
      </c>
      <c r="C248" s="1" t="s">
        <v>8</v>
      </c>
      <c r="D248" s="1">
        <v>3.0</v>
      </c>
      <c r="E248" s="1" t="s">
        <v>98</v>
      </c>
      <c r="F248" s="1" t="s">
        <v>10</v>
      </c>
      <c r="G248" s="5" t="str">
        <f t="array" ref="G248">XLOOKUP(B248,LFinder!A:A,LFinder!B:B,"absent des plateformes")</f>
        <v>absent des plateformes</v>
      </c>
    </row>
    <row r="249">
      <c r="A249" s="3" t="s">
        <v>346</v>
      </c>
      <c r="B249" s="4" t="str">
        <f>IFERROR(__xludf.DUMMYFUNCTION("REGEXREPLACE(A249, ""^https?://(www\.)?|/.*"", """")"),"neoviaretraite.fr")</f>
        <v>neoviaretraite.fr</v>
      </c>
      <c r="C249" s="1" t="s">
        <v>8</v>
      </c>
      <c r="D249" s="1">
        <v>3.0</v>
      </c>
      <c r="E249" s="1" t="s">
        <v>75</v>
      </c>
      <c r="F249" s="1" t="s">
        <v>10</v>
      </c>
      <c r="G249" s="5" t="str">
        <f t="array" ref="G249">XLOOKUP(B249,LFinder!A:A,LFinder!B:B,"absent des plateformes")</f>
        <v>absent des plateformes</v>
      </c>
    </row>
    <row r="250">
      <c r="A250" s="3" t="s">
        <v>347</v>
      </c>
      <c r="B250" s="4" t="str">
        <f>IFERROR(__xludf.DUMMYFUNCTION("REGEXREPLACE(A250, ""^https?://(www\.)?|/.*"", """")"),"prosper-conseil.fr")</f>
        <v>prosper-conseil.fr</v>
      </c>
      <c r="C250" s="1" t="s">
        <v>8</v>
      </c>
      <c r="D250" s="1">
        <v>3.0</v>
      </c>
      <c r="E250" s="1" t="s">
        <v>75</v>
      </c>
      <c r="F250" s="1" t="s">
        <v>10</v>
      </c>
      <c r="G250" s="5" t="str">
        <f t="array" ref="G250">XLOOKUP(B250,LFinder!A:A,LFinder!B:B,"absent des plateformes")</f>
        <v>absent des plateformes</v>
      </c>
    </row>
    <row r="251">
      <c r="A251" s="3" t="s">
        <v>348</v>
      </c>
      <c r="B251" s="4" t="str">
        <f>IFERROR(__xludf.DUMMYFUNCTION("REGEXREPLACE(A251, ""^https?://(www\.)?|/.*"", """")"),"onlineasset.com")</f>
        <v>onlineasset.com</v>
      </c>
      <c r="C251" s="1" t="s">
        <v>8</v>
      </c>
      <c r="D251" s="1">
        <v>3.0</v>
      </c>
      <c r="E251" s="1" t="s">
        <v>106</v>
      </c>
      <c r="F251" s="1" t="s">
        <v>54</v>
      </c>
      <c r="G251" s="5" t="str">
        <f t="array" ref="G251">XLOOKUP(B251,LFinder!A:A,LFinder!B:B,"absent des plateformes")</f>
        <v>absent des plateformes</v>
      </c>
    </row>
    <row r="252">
      <c r="A252" s="3" t="s">
        <v>349</v>
      </c>
      <c r="B252" s="4" t="str">
        <f>IFERROR(__xludf.DUMMYFUNCTION("REGEXREPLACE(A252, ""^https?://(www\.)?|/.*"", """")"),"francenum.gouv.fr")</f>
        <v>francenum.gouv.fr</v>
      </c>
      <c r="C252" s="1" t="s">
        <v>8</v>
      </c>
      <c r="D252" s="1">
        <v>3.0</v>
      </c>
      <c r="E252" s="1" t="s">
        <v>91</v>
      </c>
      <c r="F252" s="1" t="s">
        <v>10</v>
      </c>
      <c r="G252" s="5" t="str">
        <f t="array" ref="G252">XLOOKUP(B252,LFinder!A:A,LFinder!B:B,"absent des plateformes")</f>
        <v>absent des plateformes</v>
      </c>
    </row>
    <row r="253">
      <c r="A253" s="3" t="s">
        <v>350</v>
      </c>
      <c r="B253" s="4" t="str">
        <f>IFERROR(__xludf.DUMMYFUNCTION("REGEXREPLACE(A253, ""^https?://(www\.)?|/.*"", """")"),"francenum.gouv.fr")</f>
        <v>francenum.gouv.fr</v>
      </c>
      <c r="C253" s="1" t="s">
        <v>8</v>
      </c>
      <c r="D253" s="1">
        <v>3.0</v>
      </c>
      <c r="E253" s="1" t="s">
        <v>351</v>
      </c>
      <c r="F253" s="1" t="s">
        <v>10</v>
      </c>
      <c r="G253" s="5" t="str">
        <f t="array" ref="G253">XLOOKUP(B253,LFinder!A:A,LFinder!B:B,"absent des plateformes")</f>
        <v>absent des plateformes</v>
      </c>
    </row>
    <row r="254">
      <c r="A254" s="3" t="s">
        <v>352</v>
      </c>
      <c r="B254" s="4" t="str">
        <f>IFERROR(__xludf.DUMMYFUNCTION("REGEXREPLACE(A254, ""^https?://(www\.)?|/.*"", """")"),"francenum.gouv.fr")</f>
        <v>francenum.gouv.fr</v>
      </c>
      <c r="C254" s="1" t="s">
        <v>8</v>
      </c>
      <c r="D254" s="1">
        <v>3.0</v>
      </c>
      <c r="E254" s="1" t="s">
        <v>351</v>
      </c>
      <c r="F254" s="1" t="s">
        <v>10</v>
      </c>
      <c r="G254" s="5" t="str">
        <f t="array" ref="G254">XLOOKUP(B254,LFinder!A:A,LFinder!B:B,"absent des plateformes")</f>
        <v>absent des plateformes</v>
      </c>
    </row>
    <row r="255">
      <c r="A255" s="3" t="s">
        <v>353</v>
      </c>
      <c r="B255" s="4" t="str">
        <f>IFERROR(__xludf.DUMMYFUNCTION("REGEXREPLACE(A255, ""^https?://(www\.)?|/.*"", """")"),"expert-comptable-tpe.fr")</f>
        <v>expert-comptable-tpe.fr</v>
      </c>
      <c r="C255" s="1" t="s">
        <v>8</v>
      </c>
      <c r="D255" s="1">
        <v>3.0</v>
      </c>
      <c r="E255" s="1" t="s">
        <v>20</v>
      </c>
      <c r="F255" s="1" t="s">
        <v>10</v>
      </c>
      <c r="G255" s="5" t="str">
        <f t="array" ref="G255">XLOOKUP(B255,LFinder!A:A,LFinder!B:B,"absent des plateformes")</f>
        <v>absent des plateformes</v>
      </c>
    </row>
    <row r="256">
      <c r="A256" s="3" t="s">
        <v>354</v>
      </c>
      <c r="B256" s="4" t="str">
        <f>IFERROR(__xludf.DUMMYFUNCTION("REGEXREPLACE(A256, ""^https?://(www\.)?|/.*"", """")"),"expert-comptable-tpe.fr")</f>
        <v>expert-comptable-tpe.fr</v>
      </c>
      <c r="C256" s="1" t="s">
        <v>8</v>
      </c>
      <c r="D256" s="1">
        <v>3.0</v>
      </c>
      <c r="E256" s="1" t="s">
        <v>242</v>
      </c>
      <c r="F256" s="1" t="s">
        <v>10</v>
      </c>
      <c r="G256" s="5" t="str">
        <f t="array" ref="G256">XLOOKUP(B256,LFinder!A:A,LFinder!B:B,"absent des plateformes")</f>
        <v>absent des plateformes</v>
      </c>
    </row>
    <row r="257">
      <c r="A257" s="3" t="s">
        <v>355</v>
      </c>
      <c r="B257" s="4" t="str">
        <f>IFERROR(__xludf.DUMMYFUNCTION("REGEXREPLACE(A257, ""^https?://(www\.)?|/.*"", """")"),"fiducial.fr")</f>
        <v>fiducial.fr</v>
      </c>
      <c r="C257" s="1" t="s">
        <v>8</v>
      </c>
      <c r="D257" s="1">
        <v>3.0</v>
      </c>
      <c r="E257" s="1" t="s">
        <v>51</v>
      </c>
      <c r="F257" s="1" t="s">
        <v>54</v>
      </c>
      <c r="G257" s="5" t="str">
        <f t="array" ref="G257">XLOOKUP(B257,LFinder!A:A,LFinder!B:B,"absent des plateformes")</f>
        <v>absent des plateformes</v>
      </c>
    </row>
    <row r="258">
      <c r="A258" s="3" t="s">
        <v>356</v>
      </c>
      <c r="B258" s="4" t="str">
        <f>IFERROR(__xludf.DUMMYFUNCTION("REGEXREPLACE(A258, ""^https?://(www\.)?|/.*"", """")"),"tgs-france.fr")</f>
        <v>tgs-france.fr</v>
      </c>
      <c r="C258" s="1" t="s">
        <v>8</v>
      </c>
      <c r="D258" s="1">
        <v>3.0</v>
      </c>
      <c r="E258" s="1" t="s">
        <v>340</v>
      </c>
      <c r="F258" s="1" t="s">
        <v>10</v>
      </c>
      <c r="G258" s="5" t="str">
        <f t="array" ref="G258">XLOOKUP(B258,LFinder!A:A,LFinder!B:B,"absent des plateformes")</f>
        <v>absent des plateformes</v>
      </c>
    </row>
    <row r="259">
      <c r="A259" s="3" t="s">
        <v>357</v>
      </c>
      <c r="B259" s="4" t="str">
        <f>IFERROR(__xludf.DUMMYFUNCTION("REGEXREPLACE(A259, ""^https?://(www\.)?|/.*"", """")"),"propulsebyca.fr")</f>
        <v>propulsebyca.fr</v>
      </c>
      <c r="C259" s="1" t="s">
        <v>8</v>
      </c>
      <c r="D259" s="1">
        <v>3.0</v>
      </c>
      <c r="E259" s="1" t="s">
        <v>342</v>
      </c>
      <c r="F259" s="1" t="s">
        <v>54</v>
      </c>
      <c r="G259" s="5" t="str">
        <f t="array" ref="G259">XLOOKUP(B259,LFinder!A:A,LFinder!B:B,"absent des plateformes")</f>
        <v>absent des plateformes</v>
      </c>
    </row>
    <row r="260">
      <c r="A260" s="3" t="s">
        <v>358</v>
      </c>
      <c r="B260" s="4" t="str">
        <f>IFERROR(__xludf.DUMMYFUNCTION("REGEXREPLACE(A260, ""^https?://(www\.)?|/.*"", """")"),"coover.fr")</f>
        <v>coover.fr</v>
      </c>
      <c r="C260" s="1" t="s">
        <v>8</v>
      </c>
      <c r="D260" s="1">
        <v>3.0</v>
      </c>
      <c r="E260" s="1" t="s">
        <v>129</v>
      </c>
      <c r="F260" s="1" t="s">
        <v>10</v>
      </c>
      <c r="G260" s="5" t="str">
        <f t="array" ref="G260">XLOOKUP(B260,LFinder!A:A,LFinder!B:B,"absent des plateformes")</f>
        <v>absent des plateformes</v>
      </c>
    </row>
    <row r="261">
      <c r="A261" s="3" t="s">
        <v>359</v>
      </c>
      <c r="B261" s="4" t="str">
        <f>IFERROR(__xludf.DUMMYFUNCTION("REGEXREPLACE(A261, ""^https?://(www\.)?|/.*"", """")"),"keobiz.fr")</f>
        <v>keobiz.fr</v>
      </c>
      <c r="C261" s="1" t="s">
        <v>8</v>
      </c>
      <c r="D261" s="1">
        <v>3.0</v>
      </c>
      <c r="E261" s="1" t="s">
        <v>20</v>
      </c>
      <c r="F261" s="1" t="s">
        <v>10</v>
      </c>
      <c r="G261" s="5" t="str">
        <f t="array" ref="G261">XLOOKUP(B261,LFinder!A:A,LFinder!B:B,"absent des plateformes")</f>
        <v>absent des plateformes</v>
      </c>
    </row>
    <row r="262">
      <c r="A262" s="3" t="s">
        <v>360</v>
      </c>
      <c r="B262" s="4" t="str">
        <f>IFERROR(__xludf.DUMMYFUNCTION("REGEXREPLACE(A262, ""^https?://(www\.)?|/.*"", """")"),"dougs.fr")</f>
        <v>dougs.fr</v>
      </c>
      <c r="C262" s="1" t="s">
        <v>8</v>
      </c>
      <c r="D262" s="1">
        <v>3.0</v>
      </c>
      <c r="E262" s="1" t="s">
        <v>18</v>
      </c>
      <c r="F262" s="1" t="s">
        <v>10</v>
      </c>
      <c r="G262" s="5" t="str">
        <f t="array" ref="G262">XLOOKUP(B262,LFinder!A:A,LFinder!B:B,"absent des plateformes")</f>
        <v>absent des plateformes</v>
      </c>
    </row>
    <row r="263">
      <c r="A263" s="3" t="s">
        <v>361</v>
      </c>
      <c r="B263" s="4" t="str">
        <f>IFERROR(__xludf.DUMMYFUNCTION("REGEXREPLACE(A263, ""^https?://(www\.)?|/.*"", """")"),"legifiscal.fr")</f>
        <v>legifiscal.fr</v>
      </c>
      <c r="C263" s="1" t="s">
        <v>8</v>
      </c>
      <c r="D263" s="1">
        <v>3.0</v>
      </c>
      <c r="E263" s="1" t="s">
        <v>33</v>
      </c>
      <c r="F263" s="1" t="s">
        <v>54</v>
      </c>
      <c r="G263" s="5" t="str">
        <f t="array" ref="G263">XLOOKUP(B263,LFinder!A:A,LFinder!B:B,"absent des plateformes")</f>
        <v>absent des plateformes</v>
      </c>
    </row>
    <row r="264">
      <c r="A264" s="3" t="s">
        <v>362</v>
      </c>
      <c r="B264" s="4" t="str">
        <f>IFERROR(__xludf.DUMMYFUNCTION("REGEXREPLACE(A264, ""^https?://(www\.)?|/.*"", """")"),"eor.fr")</f>
        <v>eor.fr</v>
      </c>
      <c r="C264" s="1" t="s">
        <v>8</v>
      </c>
      <c r="D264" s="1">
        <v>3.0</v>
      </c>
      <c r="E264" s="1" t="s">
        <v>61</v>
      </c>
      <c r="F264" s="1" t="s">
        <v>10</v>
      </c>
      <c r="G264" s="5" t="str">
        <f t="array" ref="G264">XLOOKUP(B264,LFinder!A:A,LFinder!B:B,"absent des plateformes")</f>
        <v>absent des plateformes</v>
      </c>
    </row>
    <row r="265">
      <c r="A265" s="3" t="s">
        <v>363</v>
      </c>
      <c r="B265" s="4" t="str">
        <f>IFERROR(__xludf.DUMMYFUNCTION("REGEXREPLACE(A265, ""^https?://(www\.)?|/.*"", """")"),"comptoir-retraite.fr")</f>
        <v>comptoir-retraite.fr</v>
      </c>
      <c r="C265" s="1" t="s">
        <v>8</v>
      </c>
      <c r="D265" s="1">
        <v>3.0</v>
      </c>
      <c r="E265" s="1" t="s">
        <v>364</v>
      </c>
      <c r="F265" s="1" t="s">
        <v>10</v>
      </c>
      <c r="G265" s="5" t="str">
        <f t="array" ref="G265">XLOOKUP(B265,LFinder!A:A,LFinder!B:B,"absent des plateformes")</f>
        <v>absent des plateformes</v>
      </c>
    </row>
    <row r="266">
      <c r="A266" s="3" t="s">
        <v>365</v>
      </c>
      <c r="B266" s="4" t="str">
        <f>IFERROR(__xludf.DUMMYFUNCTION("REGEXREPLACE(A266, ""^https?://(www\.)?|/.*"", """")"),"detective-banque.fr")</f>
        <v>detective-banque.fr</v>
      </c>
      <c r="C266" s="1" t="s">
        <v>8</v>
      </c>
      <c r="D266" s="1">
        <v>3.0</v>
      </c>
      <c r="E266" s="1" t="s">
        <v>129</v>
      </c>
      <c r="F266" s="1" t="s">
        <v>54</v>
      </c>
      <c r="G266" s="5" t="str">
        <f t="array" ref="G266">XLOOKUP(B266,LFinder!A:A,LFinder!B:B,"absent des plateformes")</f>
        <v>absent des plateformes</v>
      </c>
    </row>
    <row r="267">
      <c r="A267" s="3" t="s">
        <v>366</v>
      </c>
      <c r="B267" s="4" t="str">
        <f>IFERROR(__xludf.DUMMYFUNCTION("REGEXREPLACE(A267, ""^https?://(www\.)?|/.*"", """")"),"detective-banque.fr")</f>
        <v>detective-banque.fr</v>
      </c>
      <c r="C267" s="1" t="s">
        <v>8</v>
      </c>
      <c r="D267" s="1">
        <v>3.0</v>
      </c>
      <c r="E267" s="1" t="s">
        <v>51</v>
      </c>
      <c r="F267" s="1" t="s">
        <v>54</v>
      </c>
      <c r="G267" s="5" t="str">
        <f t="array" ref="G267">XLOOKUP(B267,LFinder!A:A,LFinder!B:B,"absent des plateformes")</f>
        <v>absent des plateformes</v>
      </c>
    </row>
    <row r="268">
      <c r="A268" s="3" t="s">
        <v>367</v>
      </c>
      <c r="B268" s="4" t="str">
        <f>IFERROR(__xludf.DUMMYFUNCTION("REGEXREPLACE(A268, ""^https?://(www\.)?|/.*"", """")"),"indy.fr")</f>
        <v>indy.fr</v>
      </c>
      <c r="C268" s="1" t="s">
        <v>8</v>
      </c>
      <c r="D268" s="1">
        <v>3.0</v>
      </c>
      <c r="E268" s="1" t="s">
        <v>368</v>
      </c>
      <c r="F268" s="1" t="s">
        <v>10</v>
      </c>
      <c r="G268" s="5" t="str">
        <f t="array" ref="G268">XLOOKUP(B268,LFinder!A:A,LFinder!B:B,"absent des plateformes")</f>
        <v>absent des plateformes</v>
      </c>
    </row>
    <row r="269">
      <c r="A269" s="3" t="s">
        <v>369</v>
      </c>
      <c r="B269" s="4" t="str">
        <f>IFERROR(__xludf.DUMMYFUNCTION("REGEXREPLACE(A269, ""^https?://(www\.)?|/.*"", """")"),"indy.fr")</f>
        <v>indy.fr</v>
      </c>
      <c r="C269" s="1" t="s">
        <v>8</v>
      </c>
      <c r="D269" s="1">
        <v>3.0</v>
      </c>
      <c r="E269" s="1" t="s">
        <v>18</v>
      </c>
      <c r="F269" s="1" t="s">
        <v>10</v>
      </c>
      <c r="G269" s="5" t="str">
        <f t="array" ref="G269">XLOOKUP(B269,LFinder!A:A,LFinder!B:B,"absent des plateformes")</f>
        <v>absent des plateformes</v>
      </c>
    </row>
    <row r="270">
      <c r="A270" s="3" t="s">
        <v>370</v>
      </c>
      <c r="B270" s="4" t="str">
        <f>IFERROR(__xludf.DUMMYFUNCTION("REGEXREPLACE(A270, ""^https?://(www\.)?|/.*"", """")"),"qonto.com")</f>
        <v>qonto.com</v>
      </c>
      <c r="C270" s="1" t="s">
        <v>8</v>
      </c>
      <c r="D270" s="1">
        <v>3.0</v>
      </c>
      <c r="E270" s="1" t="s">
        <v>371</v>
      </c>
      <c r="F270" s="1" t="s">
        <v>54</v>
      </c>
      <c r="G270" s="5" t="str">
        <f t="array" ref="G270">XLOOKUP(B270,LFinder!A:A,LFinder!B:B,"absent des plateformes")</f>
        <v>absent des plateformes</v>
      </c>
    </row>
    <row r="271">
      <c r="A271" s="3" t="s">
        <v>372</v>
      </c>
      <c r="B271" s="4" t="str">
        <f>IFERROR(__xludf.DUMMYFUNCTION("REGEXREPLACE(A271, ""^https?://(www\.)?|/.*"", """")"),"monoutildegestion.fr")</f>
        <v>monoutildegestion.fr</v>
      </c>
      <c r="C271" s="1" t="s">
        <v>8</v>
      </c>
      <c r="D271" s="1">
        <v>3.0</v>
      </c>
      <c r="E271" s="1" t="s">
        <v>12</v>
      </c>
      <c r="F271" s="1" t="s">
        <v>10</v>
      </c>
      <c r="G271" s="5" t="str">
        <f t="array" ref="G271">XLOOKUP(B271,LFinder!A:A,LFinder!B:B,"absent des plateformes")</f>
        <v>absent des plateformes</v>
      </c>
    </row>
    <row r="272">
      <c r="A272" s="3" t="s">
        <v>373</v>
      </c>
      <c r="B272" s="4" t="str">
        <f>IFERROR(__xludf.DUMMYFUNCTION("REGEXREPLACE(A272, ""^https?://(www\.)?|/.*"", """")"),"comparabanques.fr")</f>
        <v>comparabanques.fr</v>
      </c>
      <c r="C272" s="1" t="s">
        <v>8</v>
      </c>
      <c r="D272" s="1">
        <v>3.0</v>
      </c>
      <c r="E272" s="1" t="s">
        <v>106</v>
      </c>
      <c r="F272" s="1" t="s">
        <v>10</v>
      </c>
      <c r="G272" s="5" t="str">
        <f t="array" ref="G272">XLOOKUP(B272,LFinder!A:A,LFinder!B:B,"absent des plateformes")</f>
        <v>absent des plateformes</v>
      </c>
    </row>
    <row r="273">
      <c r="A273" s="3" t="s">
        <v>374</v>
      </c>
      <c r="B273" s="4" t="str">
        <f>IFERROR(__xludf.DUMMYFUNCTION("REGEXREPLACE(A273, ""^https?://(www\.)?|/.*"", """")"),"comparabanques.fr")</f>
        <v>comparabanques.fr</v>
      </c>
      <c r="C273" s="1" t="s">
        <v>8</v>
      </c>
      <c r="D273" s="1">
        <v>3.0</v>
      </c>
      <c r="E273" s="1" t="s">
        <v>16</v>
      </c>
      <c r="F273" s="1" t="s">
        <v>10</v>
      </c>
      <c r="G273" s="5" t="str">
        <f t="array" ref="G273">XLOOKUP(B273,LFinder!A:A,LFinder!B:B,"absent des plateformes")</f>
        <v>absent des plateformes</v>
      </c>
    </row>
    <row r="274">
      <c r="A274" s="3" t="s">
        <v>375</v>
      </c>
      <c r="B274" s="4" t="str">
        <f>IFERROR(__xludf.DUMMYFUNCTION("REGEXREPLACE(A274, ""^https?://(www\.)?|/.*"", """")"),"facture-electronique-obligatoire.fr")</f>
        <v>facture-electronique-obligatoire.fr</v>
      </c>
      <c r="C274" s="1" t="s">
        <v>8</v>
      </c>
      <c r="D274" s="1">
        <v>3.0</v>
      </c>
      <c r="E274" s="1" t="s">
        <v>98</v>
      </c>
      <c r="F274" s="1" t="s">
        <v>10</v>
      </c>
      <c r="G274" s="5" t="str">
        <f t="array" ref="G274">XLOOKUP(B274,LFinder!A:A,LFinder!B:B,"absent des plateformes")</f>
        <v>absent des plateformes</v>
      </c>
    </row>
    <row r="275">
      <c r="A275" s="3" t="s">
        <v>376</v>
      </c>
      <c r="B275" s="4" t="str">
        <f>IFERROR(__xludf.DUMMYFUNCTION("REGEXREPLACE(A275, ""^https?://(www\.)?|/.*"", """")"),"facturationdematerialisee.fr")</f>
        <v>facturationdematerialisee.fr</v>
      </c>
      <c r="C275" s="1" t="s">
        <v>8</v>
      </c>
      <c r="D275" s="1">
        <v>3.0</v>
      </c>
      <c r="E275" s="1" t="s">
        <v>66</v>
      </c>
      <c r="F275" s="1" t="s">
        <v>10</v>
      </c>
      <c r="G275" s="5" t="str">
        <f t="array" ref="G275">XLOOKUP(B275,LFinder!A:A,LFinder!B:B,"absent des plateformes")</f>
        <v>absent des plateformes</v>
      </c>
    </row>
    <row r="276">
      <c r="A276" s="3" t="s">
        <v>377</v>
      </c>
      <c r="B276" s="4" t="str">
        <f>IFERROR(__xludf.DUMMYFUNCTION("REGEXREPLACE(A276, ""^https?://(www\.)?|/.*"", """")"),"impots.gouv.fr")</f>
        <v>impots.gouv.fr</v>
      </c>
      <c r="C276" s="1" t="s">
        <v>8</v>
      </c>
      <c r="D276" s="1">
        <v>3.0</v>
      </c>
      <c r="E276" s="1" t="s">
        <v>66</v>
      </c>
      <c r="F276" s="1" t="s">
        <v>54</v>
      </c>
      <c r="G276" s="5" t="str">
        <f t="array" ref="G276">XLOOKUP(B276,LFinder!A:A,LFinder!B:B,"absent des plateformes")</f>
        <v>absent des plateformes</v>
      </c>
    </row>
    <row r="277">
      <c r="A277" s="3" t="s">
        <v>378</v>
      </c>
      <c r="B277" s="4" t="str">
        <f>IFERROR(__xludf.DUMMYFUNCTION("REGEXREPLACE(A277, ""^https?://(www\.)?|/.*"", """")"),"impots.gouv.fr")</f>
        <v>impots.gouv.fr</v>
      </c>
      <c r="C277" s="1" t="s">
        <v>8</v>
      </c>
      <c r="D277" s="1">
        <v>3.0</v>
      </c>
      <c r="E277" s="1" t="s">
        <v>66</v>
      </c>
      <c r="F277" s="1" t="s">
        <v>10</v>
      </c>
      <c r="G277" s="5" t="str">
        <f t="array" ref="G277">XLOOKUP(B277,LFinder!A:A,LFinder!B:B,"absent des plateformes")</f>
        <v>absent des plateformes</v>
      </c>
    </row>
    <row r="278">
      <c r="A278" s="3" t="s">
        <v>379</v>
      </c>
      <c r="B278" s="4" t="str">
        <f>IFERROR(__xludf.DUMMYFUNCTION("REGEXREPLACE(A278, ""^https?://(www\.)?|/.*"", """")"),"cirdis-retraite.fr")</f>
        <v>cirdis-retraite.fr</v>
      </c>
      <c r="C278" s="1" t="s">
        <v>8</v>
      </c>
      <c r="D278" s="1">
        <v>2.0</v>
      </c>
      <c r="E278" s="1" t="s">
        <v>200</v>
      </c>
      <c r="F278" s="1" t="s">
        <v>10</v>
      </c>
      <c r="G278" s="5" t="str">
        <f t="array" ref="G278">XLOOKUP(B278,LFinder!A:A,LFinder!B:B,"absent des plateformes")</f>
        <v>absent des plateformes</v>
      </c>
    </row>
    <row r="279">
      <c r="A279" s="3" t="s">
        <v>380</v>
      </c>
      <c r="B279" s="4" t="str">
        <f>IFERROR(__xludf.DUMMYFUNCTION("REGEXREPLACE(A279, ""^https?://(www\.)?|/.*"", """")"),"oceaconcept.fr")</f>
        <v>oceaconcept.fr</v>
      </c>
      <c r="C279" s="1" t="s">
        <v>8</v>
      </c>
      <c r="D279" s="1">
        <v>2.0</v>
      </c>
      <c r="E279" s="1" t="s">
        <v>200</v>
      </c>
      <c r="F279" s="1" t="s">
        <v>10</v>
      </c>
      <c r="G279" s="5" t="str">
        <f t="array" ref="G279">XLOOKUP(B279,LFinder!A:A,LFinder!B:B,"absent des plateformes")</f>
        <v>absent des plateformes</v>
      </c>
    </row>
    <row r="280">
      <c r="A280" s="3" t="s">
        <v>381</v>
      </c>
      <c r="B280" s="4" t="str">
        <f>IFERROR(__xludf.DUMMYFUNCTION("REGEXREPLACE(A280, ""^https?://(www\.)?|/.*"", """")"),"prismo-retraite.fr")</f>
        <v>prismo-retraite.fr</v>
      </c>
      <c r="C280" s="1" t="s">
        <v>8</v>
      </c>
      <c r="D280" s="1">
        <v>2.0</v>
      </c>
      <c r="E280" s="1" t="s">
        <v>200</v>
      </c>
      <c r="F280" s="1" t="s">
        <v>10</v>
      </c>
      <c r="G280" s="5" t="str">
        <f t="array" ref="G280">XLOOKUP(B280,LFinder!A:A,LFinder!B:B,"absent des plateformes")</f>
        <v>absent des plateformes</v>
      </c>
    </row>
    <row r="281">
      <c r="A281" s="3" t="s">
        <v>382</v>
      </c>
      <c r="B281" s="4" t="str">
        <f>IFERROR(__xludf.DUMMYFUNCTION("REGEXREPLACE(A281, ""^https?://(www\.)?|/.*"", """")"),"dlretraite.com")</f>
        <v>dlretraite.com</v>
      </c>
      <c r="C281" s="1" t="s">
        <v>8</v>
      </c>
      <c r="D281" s="1">
        <v>2.0</v>
      </c>
      <c r="E281" s="1" t="s">
        <v>200</v>
      </c>
      <c r="F281" s="1" t="s">
        <v>10</v>
      </c>
      <c r="G281" s="5" t="str">
        <f t="array" ref="G281">XLOOKUP(B281,LFinder!A:A,LFinder!B:B,"absent des plateformes")</f>
        <v>absent des plateformes</v>
      </c>
    </row>
    <row r="282">
      <c r="A282" s="3" t="s">
        <v>383</v>
      </c>
      <c r="B282" s="4" t="str">
        <f>IFERROR(__xludf.DUMMYFUNCTION("REGEXREPLACE(A282, ""^https?://(www\.)?|/.*"", """")"),"service-public.fr")</f>
        <v>service-public.fr</v>
      </c>
      <c r="C282" s="1" t="s">
        <v>8</v>
      </c>
      <c r="D282" s="1">
        <v>2.0</v>
      </c>
      <c r="E282" s="1" t="s">
        <v>129</v>
      </c>
      <c r="F282" s="1" t="s">
        <v>10</v>
      </c>
      <c r="G282" s="5" t="str">
        <f t="array" ref="G282">XLOOKUP(B282,LFinder!A:A,LFinder!B:B,"absent des plateformes")</f>
        <v>absent des plateformes</v>
      </c>
    </row>
    <row r="283">
      <c r="A283" s="3" t="s">
        <v>384</v>
      </c>
      <c r="B283" s="4" t="str">
        <f>IFERROR(__xludf.DUMMYFUNCTION("REGEXREPLACE(A283, ""^https?://(www\.)?|/.*"", """")"),"competence-retraite.fr")</f>
        <v>competence-retraite.fr</v>
      </c>
      <c r="C283" s="1" t="s">
        <v>8</v>
      </c>
      <c r="D283" s="1">
        <v>2.0</v>
      </c>
      <c r="E283" s="1" t="s">
        <v>308</v>
      </c>
      <c r="F283" s="1" t="s">
        <v>10</v>
      </c>
      <c r="G283" s="5" t="str">
        <f t="array" ref="G283">XLOOKUP(B283,LFinder!A:A,LFinder!B:B,"absent des plateformes")</f>
        <v>absent des plateformes</v>
      </c>
    </row>
    <row r="284">
      <c r="A284" s="3" t="s">
        <v>385</v>
      </c>
      <c r="B284" s="4" t="str">
        <f>IFERROR(__xludf.DUMMYFUNCTION("REGEXREPLACE(A284, ""^https?://(www\.)?|/.*"", """")"),"meilleurcomptepro.fr")</f>
        <v>meilleurcomptepro.fr</v>
      </c>
      <c r="C284" s="1" t="s">
        <v>8</v>
      </c>
      <c r="D284" s="1">
        <v>2.0</v>
      </c>
      <c r="E284" s="1" t="s">
        <v>56</v>
      </c>
      <c r="F284" s="1" t="s">
        <v>54</v>
      </c>
      <c r="G284" s="5" t="str">
        <f t="array" ref="G284">XLOOKUP(B284,LFinder!A:A,LFinder!B:B,"absent des plateformes")</f>
        <v>absent des plateformes</v>
      </c>
    </row>
    <row r="285">
      <c r="A285" s="3" t="s">
        <v>386</v>
      </c>
      <c r="B285" s="4" t="str">
        <f>IFERROR(__xludf.DUMMYFUNCTION("REGEXREPLACE(A285, ""^https?://(www\.)?|/.*"", """")"),"banque-professionnel.fr")</f>
        <v>banque-professionnel.fr</v>
      </c>
      <c r="C285" s="1" t="s">
        <v>8</v>
      </c>
      <c r="D285" s="1">
        <v>2.0</v>
      </c>
      <c r="E285" s="1" t="s">
        <v>387</v>
      </c>
      <c r="F285" s="1" t="s">
        <v>10</v>
      </c>
      <c r="G285" s="5" t="str">
        <f t="array" ref="G285">XLOOKUP(B285,LFinder!A:A,LFinder!B:B,"absent des plateformes")</f>
        <v>absent des plateformes</v>
      </c>
    </row>
    <row r="286">
      <c r="A286" s="3" t="s">
        <v>388</v>
      </c>
      <c r="B286" s="4" t="str">
        <f>IFERROR(__xludf.DUMMYFUNCTION("REGEXREPLACE(A286, ""^https?://(www\.)?|/.*"", """")"),"comparateur-facturation-electronique.fr")</f>
        <v>comparateur-facturation-electronique.fr</v>
      </c>
      <c r="C286" s="1" t="s">
        <v>8</v>
      </c>
      <c r="D286" s="1">
        <v>2.0</v>
      </c>
      <c r="E286" s="1" t="s">
        <v>389</v>
      </c>
      <c r="F286" s="1" t="s">
        <v>54</v>
      </c>
      <c r="G286" s="5" t="str">
        <f t="array" ref="G286">XLOOKUP(B286,LFinder!A:A,LFinder!B:B,"absent des plateformes")</f>
        <v>absent des plateformes</v>
      </c>
    </row>
    <row r="287">
      <c r="A287" s="3" t="s">
        <v>390</v>
      </c>
      <c r="B287" s="4" t="str">
        <f>IFERROR(__xludf.DUMMYFUNCTION("REGEXREPLACE(A287, ""^https?://(www\.)?|/.*"", """")"),"france-epargne.fr")</f>
        <v>france-epargne.fr</v>
      </c>
      <c r="C287" s="1" t="s">
        <v>8</v>
      </c>
      <c r="D287" s="1">
        <v>2.0</v>
      </c>
      <c r="E287" s="1" t="s">
        <v>75</v>
      </c>
      <c r="F287" s="1" t="s">
        <v>10</v>
      </c>
      <c r="G287" s="5" t="str">
        <f t="array" ref="G287">XLOOKUP(B287,LFinder!A:A,LFinder!B:B,"absent des plateformes")</f>
        <v>absent des plateformes</v>
      </c>
    </row>
    <row r="288">
      <c r="A288" s="3" t="s">
        <v>391</v>
      </c>
      <c r="B288" s="4" t="str">
        <f>IFERROR(__xludf.DUMMYFUNCTION("REGEXREPLACE(A288, ""^https?://(www\.)?|/.*"", """")"),"youseeme.fr")</f>
        <v>youseeme.fr</v>
      </c>
      <c r="C288" s="1" t="s">
        <v>8</v>
      </c>
      <c r="D288" s="1">
        <v>2.0</v>
      </c>
      <c r="E288" s="1" t="s">
        <v>82</v>
      </c>
      <c r="F288" s="1" t="s">
        <v>10</v>
      </c>
      <c r="G288" s="5" t="str">
        <f t="array" ref="G288">XLOOKUP(B288,LFinder!A:A,LFinder!B:B,"absent des plateformes")</f>
        <v>absent des plateformes</v>
      </c>
    </row>
    <row r="289">
      <c r="A289" s="3" t="s">
        <v>392</v>
      </c>
      <c r="B289" s="4" t="str">
        <f>IFERROR(__xludf.DUMMYFUNCTION("REGEXREPLACE(A289, ""^https?://(www\.)?|/.*"", """")"),"hiscox.fr")</f>
        <v>hiscox.fr</v>
      </c>
      <c r="C289" s="1" t="s">
        <v>8</v>
      </c>
      <c r="D289" s="1">
        <v>2.0</v>
      </c>
      <c r="E289" s="1" t="s">
        <v>316</v>
      </c>
      <c r="F289" s="1" t="s">
        <v>10</v>
      </c>
      <c r="G289" s="5" t="str">
        <f t="array" ref="G289">XLOOKUP(B289,LFinder!A:A,LFinder!B:B,"absent des plateformes")</f>
        <v>absent des plateformes</v>
      </c>
    </row>
    <row r="290">
      <c r="A290" s="3" t="s">
        <v>393</v>
      </c>
      <c r="B290" s="4" t="str">
        <f>IFERROR(__xludf.DUMMYFUNCTION("REGEXREPLACE(A290, ""^https?://(www\.)?|/.*"", """")"),"jeboss.fr")</f>
        <v>jeboss.fr</v>
      </c>
      <c r="C290" s="1" t="s">
        <v>8</v>
      </c>
      <c r="D290" s="1">
        <v>2.0</v>
      </c>
      <c r="E290" s="1" t="s">
        <v>316</v>
      </c>
      <c r="F290" s="1" t="s">
        <v>10</v>
      </c>
      <c r="G290" s="5" t="str">
        <f t="array" ref="G290">XLOOKUP(B290,LFinder!A:A,LFinder!B:B,"absent des plateformes")</f>
        <v>absent des plateformes</v>
      </c>
    </row>
    <row r="291">
      <c r="A291" s="3" t="s">
        <v>394</v>
      </c>
      <c r="B291" s="4" t="str">
        <f>IFERROR(__xludf.DUMMYFUNCTION("REGEXREPLACE(A291, ""^https?://(www\.)?|/.*"", """")"),"nouvelleviepro.fr")</f>
        <v>nouvelleviepro.fr</v>
      </c>
      <c r="C291" s="1" t="s">
        <v>8</v>
      </c>
      <c r="D291" s="1">
        <v>2.0</v>
      </c>
      <c r="E291" s="1" t="s">
        <v>316</v>
      </c>
      <c r="F291" s="1" t="s">
        <v>10</v>
      </c>
      <c r="G291" s="5" t="str">
        <f t="array" ref="G291">XLOOKUP(B291,LFinder!A:A,LFinder!B:B,"absent des plateformes")</f>
        <v>absent des plateformes</v>
      </c>
    </row>
    <row r="292">
      <c r="A292" s="3" t="s">
        <v>395</v>
      </c>
      <c r="B292" s="4" t="str">
        <f>IFERROR(__xludf.DUMMYFUNCTION("REGEXREPLACE(A292, ""^https?://(www\.)?|/.*"", """")"),"info.gouv.fr")</f>
        <v>info.gouv.fr</v>
      </c>
      <c r="C292" s="1" t="s">
        <v>8</v>
      </c>
      <c r="D292" s="1">
        <v>2.0</v>
      </c>
      <c r="E292" s="1" t="s">
        <v>316</v>
      </c>
      <c r="F292" s="1" t="s">
        <v>10</v>
      </c>
      <c r="G292" s="5" t="str">
        <f t="array" ref="G292">XLOOKUP(B292,LFinder!A:A,LFinder!B:B,"absent des plateformes")</f>
        <v>absent des plateformes</v>
      </c>
    </row>
    <row r="293">
      <c r="A293" s="3" t="s">
        <v>396</v>
      </c>
      <c r="B293" s="4" t="str">
        <f>IFERROR(__xludf.DUMMYFUNCTION("REGEXREPLACE(A293, ""^https?://(www\.)?|/.*"", """")"),"softindep.fr")</f>
        <v>softindep.fr</v>
      </c>
      <c r="C293" s="1" t="s">
        <v>8</v>
      </c>
      <c r="D293" s="1">
        <v>2.0</v>
      </c>
      <c r="E293" s="1" t="s">
        <v>20</v>
      </c>
      <c r="F293" s="1" t="s">
        <v>10</v>
      </c>
      <c r="G293" s="5" t="str">
        <f t="array" ref="G293">XLOOKUP(B293,LFinder!A:A,LFinder!B:B,"absent des plateformes")</f>
        <v>absent des plateformes</v>
      </c>
    </row>
    <row r="294">
      <c r="A294" s="3" t="s">
        <v>397</v>
      </c>
      <c r="B294" s="4" t="str">
        <f>IFERROR(__xludf.DUMMYFUNCTION("REGEXREPLACE(A294, ""^https?://(www\.)?|/.*"", """")"),"impulsefinance.fr")</f>
        <v>impulsefinance.fr</v>
      </c>
      <c r="C294" s="1" t="s">
        <v>8</v>
      </c>
      <c r="D294" s="1">
        <v>2.0</v>
      </c>
      <c r="E294" s="1" t="s">
        <v>20</v>
      </c>
      <c r="F294" s="1" t="s">
        <v>10</v>
      </c>
      <c r="G294" s="5" t="str">
        <f t="array" ref="G294">XLOOKUP(B294,LFinder!A:A,LFinder!B:B,"absent des plateformes")</f>
        <v>absent des plateformes</v>
      </c>
    </row>
    <row r="295">
      <c r="A295" s="3" t="s">
        <v>398</v>
      </c>
      <c r="B295" s="4" t="str">
        <f>IFERROR(__xludf.DUMMYFUNCTION("REGEXREPLACE(A295, ""^https?://(www\.)?|/.*"", """")"),"retraite.com")</f>
        <v>retraite.com</v>
      </c>
      <c r="C295" s="1" t="s">
        <v>8</v>
      </c>
      <c r="D295" s="1">
        <v>2.0</v>
      </c>
      <c r="E295" s="1" t="s">
        <v>61</v>
      </c>
      <c r="F295" s="1" t="s">
        <v>10</v>
      </c>
      <c r="G295" s="5" t="str">
        <f t="array" ref="G295">XLOOKUP(B295,LFinder!A:A,LFinder!B:B,"absent des plateformes")</f>
        <v>absent des plateformes</v>
      </c>
    </row>
    <row r="296">
      <c r="A296" s="3" t="s">
        <v>399</v>
      </c>
      <c r="B296" s="4" t="str">
        <f>IFERROR(__xludf.DUMMYFUNCTION("REGEXREPLACE(A296, ""^https?://(www\.)?|/.*"", """")"),"gereso.com")</f>
        <v>gereso.com</v>
      </c>
      <c r="C296" s="1" t="s">
        <v>8</v>
      </c>
      <c r="D296" s="1">
        <v>2.0</v>
      </c>
      <c r="E296" s="1" t="s">
        <v>61</v>
      </c>
      <c r="F296" s="1" t="s">
        <v>10</v>
      </c>
      <c r="G296" s="5" t="str">
        <f t="array" ref="G296">XLOOKUP(B296,LFinder!A:A,LFinder!B:B,"absent des plateformes")</f>
        <v>absent des plateformes</v>
      </c>
    </row>
    <row r="297">
      <c r="A297" s="3" t="s">
        <v>400</v>
      </c>
      <c r="B297" s="4" t="str">
        <f>IFERROR(__xludf.DUMMYFUNCTION("REGEXREPLACE(A297, ""^https?://(www\.)?|/.*"", """")"),"sapiendo-retraite.fr")</f>
        <v>sapiendo-retraite.fr</v>
      </c>
      <c r="C297" s="1" t="s">
        <v>8</v>
      </c>
      <c r="D297" s="1">
        <v>2.0</v>
      </c>
      <c r="E297" s="1" t="s">
        <v>61</v>
      </c>
      <c r="F297" s="1" t="s">
        <v>10</v>
      </c>
      <c r="G297" s="5" t="str">
        <f t="array" ref="G297">XLOOKUP(B297,LFinder!A:A,LFinder!B:B,"absent des plateformes")</f>
        <v>absent des plateformes</v>
      </c>
    </row>
    <row r="298">
      <c r="A298" s="3" t="s">
        <v>401</v>
      </c>
      <c r="B298" s="4" t="str">
        <f>IFERROR(__xludf.DUMMYFUNCTION("REGEXREPLACE(A298, ""^https?://(www\.)?|/.*"", """")"),"apogea.fr")</f>
        <v>apogea.fr</v>
      </c>
      <c r="C298" s="1" t="s">
        <v>8</v>
      </c>
      <c r="D298" s="1">
        <v>2.0</v>
      </c>
      <c r="E298" s="1" t="s">
        <v>20</v>
      </c>
      <c r="F298" s="1" t="s">
        <v>10</v>
      </c>
      <c r="G298" s="5" t="str">
        <f t="array" ref="G298">XLOOKUP(B298,LFinder!A:A,LFinder!B:B,"absent des plateformes")</f>
        <v>absent des plateformes</v>
      </c>
    </row>
    <row r="299">
      <c r="A299" s="3" t="s">
        <v>402</v>
      </c>
      <c r="B299" s="4" t="str">
        <f>IFERROR(__xludf.DUMMYFUNCTION("REGEXREPLACE(A299, ""^https?://(www\.)?|/.*"", """")"),"welyb.fr")</f>
        <v>welyb.fr</v>
      </c>
      <c r="C299" s="1" t="s">
        <v>8</v>
      </c>
      <c r="D299" s="1">
        <v>2.0</v>
      </c>
      <c r="E299" s="1" t="s">
        <v>33</v>
      </c>
      <c r="F299" s="1" t="s">
        <v>10</v>
      </c>
      <c r="G299" s="5" t="str">
        <f t="array" ref="G299">XLOOKUP(B299,LFinder!A:A,LFinder!B:B,"absent des plateformes")</f>
        <v>absent des plateformes</v>
      </c>
    </row>
    <row r="300">
      <c r="A300" s="3" t="s">
        <v>403</v>
      </c>
      <c r="B300" s="4" t="str">
        <f>IFERROR(__xludf.DUMMYFUNCTION("REGEXREPLACE(A300, ""^https?://(www\.)?|/.*"", """")"),"bpifrance-creation.fr")</f>
        <v>bpifrance-creation.fr</v>
      </c>
      <c r="C300" s="1" t="s">
        <v>8</v>
      </c>
      <c r="D300" s="1">
        <v>2.0</v>
      </c>
      <c r="E300" s="1" t="s">
        <v>316</v>
      </c>
      <c r="F300" s="1" t="s">
        <v>10</v>
      </c>
      <c r="G300" s="5" t="str">
        <f t="array" ref="G300">XLOOKUP(B300,LFinder!A:A,LFinder!B:B,"absent des plateformes")</f>
        <v>absent des plateformes</v>
      </c>
    </row>
    <row r="301">
      <c r="A301" s="3" t="s">
        <v>404</v>
      </c>
      <c r="B301" s="4" t="str">
        <f>IFERROR(__xludf.DUMMYFUNCTION("REGEXREPLACE(A301, ""^https?://(www\.)?|/.*"", """")"),"bpifrance-creation.fr")</f>
        <v>bpifrance-creation.fr</v>
      </c>
      <c r="C301" s="1" t="s">
        <v>8</v>
      </c>
      <c r="D301" s="1">
        <v>2.0</v>
      </c>
      <c r="E301" s="1" t="s">
        <v>316</v>
      </c>
      <c r="F301" s="1" t="s">
        <v>10</v>
      </c>
      <c r="G301" s="5" t="str">
        <f t="array" ref="G301">XLOOKUP(B301,LFinder!A:A,LFinder!B:B,"absent des plateformes")</f>
        <v>absent des plateformes</v>
      </c>
    </row>
    <row r="302">
      <c r="A302" s="3" t="s">
        <v>405</v>
      </c>
      <c r="B302" s="4" t="str">
        <f>IFERROR(__xludf.DUMMYFUNCTION("REGEXREPLACE(A302, ""^https?://(www\.)?|/.*"", """")"),"comparatif-compta.fr")</f>
        <v>comparatif-compta.fr</v>
      </c>
      <c r="C302" s="1" t="s">
        <v>8</v>
      </c>
      <c r="D302" s="1">
        <v>2.0</v>
      </c>
      <c r="E302" s="1" t="s">
        <v>91</v>
      </c>
      <c r="F302" s="1" t="s">
        <v>10</v>
      </c>
      <c r="G302" s="5" t="str">
        <f t="array" ref="G302">XLOOKUP(B302,LFinder!A:A,LFinder!B:B,"absent des plateformes")</f>
        <v>absent des plateformes</v>
      </c>
    </row>
    <row r="303">
      <c r="A303" s="3" t="s">
        <v>406</v>
      </c>
      <c r="B303" s="4" t="str">
        <f>IFERROR(__xludf.DUMMYFUNCTION("REGEXREPLACE(A303, ""^https?://(www\.)?|/.*"", """")"),"2a-avocat.com")</f>
        <v>2a-avocat.com</v>
      </c>
      <c r="C303" s="1" t="s">
        <v>8</v>
      </c>
      <c r="D303" s="1">
        <v>2.0</v>
      </c>
      <c r="E303" s="1" t="s">
        <v>407</v>
      </c>
      <c r="F303" s="1" t="s">
        <v>10</v>
      </c>
      <c r="G303" s="5" t="str">
        <f t="array" ref="G303">XLOOKUP(B303,LFinder!A:A,LFinder!B:B,"absent des plateformes")</f>
        <v>absent des plateformes</v>
      </c>
    </row>
    <row r="304">
      <c r="A304" s="3" t="s">
        <v>408</v>
      </c>
      <c r="B304" s="4" t="str">
        <f>IFERROR(__xludf.DUMMYFUNCTION("REGEXREPLACE(A304, ""^https?://(www\.)?|/.*"", """")"),"hafidi-avocat.com")</f>
        <v>hafidi-avocat.com</v>
      </c>
      <c r="C304" s="1" t="s">
        <v>8</v>
      </c>
      <c r="D304" s="1">
        <v>2.0</v>
      </c>
      <c r="E304" s="1" t="s">
        <v>407</v>
      </c>
      <c r="F304" s="1" t="s">
        <v>10</v>
      </c>
      <c r="G304" s="5" t="str">
        <f t="array" ref="G304">XLOOKUP(B304,LFinder!A:A,LFinder!B:B,"absent des plateformes")</f>
        <v>absent des plateformes</v>
      </c>
    </row>
    <row r="305">
      <c r="A305" s="3" t="s">
        <v>409</v>
      </c>
      <c r="B305" s="4" t="str">
        <f>IFERROR(__xludf.DUMMYFUNCTION("REGEXREPLACE(A305, ""^https?://(www\.)?|/.*"", """")"),"josse-avocat.com")</f>
        <v>josse-avocat.com</v>
      </c>
      <c r="C305" s="1" t="s">
        <v>8</v>
      </c>
      <c r="D305" s="1">
        <v>2.0</v>
      </c>
      <c r="E305" s="1" t="s">
        <v>407</v>
      </c>
      <c r="F305" s="1" t="s">
        <v>10</v>
      </c>
      <c r="G305" s="5" t="str">
        <f t="array" ref="G305">XLOOKUP(B305,LFinder!A:A,LFinder!B:B,"absent des plateformes")</f>
        <v>absent des plateformes</v>
      </c>
    </row>
    <row r="306">
      <c r="A306" s="3" t="s">
        <v>410</v>
      </c>
      <c r="B306" s="4" t="str">
        <f>IFERROR(__xludf.DUMMYFUNCTION("REGEXREPLACE(A306, ""^https?://(www\.)?|/.*"", """")"),"josse-avocat.com")</f>
        <v>josse-avocat.com</v>
      </c>
      <c r="C306" s="1" t="s">
        <v>8</v>
      </c>
      <c r="D306" s="1">
        <v>2.0</v>
      </c>
      <c r="E306" s="1" t="s">
        <v>407</v>
      </c>
      <c r="F306" s="1" t="s">
        <v>10</v>
      </c>
      <c r="G306" s="5" t="str">
        <f t="array" ref="G306">XLOOKUP(B306,LFinder!A:A,LFinder!B:B,"absent des plateformes")</f>
        <v>absent des plateformes</v>
      </c>
    </row>
    <row r="307">
      <c r="A307" s="3" t="s">
        <v>411</v>
      </c>
      <c r="B307" s="4" t="str">
        <f>IFERROR(__xludf.DUMMYFUNCTION("REGEXREPLACE(A307, ""^https?://(www\.)?|/.*"", """")"),"inextenso-avocats.com")</f>
        <v>inextenso-avocats.com</v>
      </c>
      <c r="C307" s="1" t="s">
        <v>8</v>
      </c>
      <c r="D307" s="1">
        <v>2.0</v>
      </c>
      <c r="E307" s="1" t="s">
        <v>407</v>
      </c>
      <c r="F307" s="1" t="s">
        <v>10</v>
      </c>
      <c r="G307" s="5" t="str">
        <f t="array" ref="G307">XLOOKUP(B307,LFinder!A:A,LFinder!B:B,"absent des plateformes")</f>
        <v>absent des plateformes</v>
      </c>
    </row>
    <row r="308">
      <c r="A308" s="3" t="s">
        <v>412</v>
      </c>
      <c r="B308" s="4" t="str">
        <f>IFERROR(__xludf.DUMMYFUNCTION("REGEXREPLACE(A308, ""^https?://(www\.)?|/.*"", """")"),"swim.legal")</f>
        <v>swim.legal</v>
      </c>
      <c r="C308" s="1" t="s">
        <v>8</v>
      </c>
      <c r="D308" s="1">
        <v>2.0</v>
      </c>
      <c r="E308" s="1" t="s">
        <v>407</v>
      </c>
      <c r="F308" s="1" t="s">
        <v>10</v>
      </c>
      <c r="G308" s="5" t="str">
        <f t="array" ref="G308">XLOOKUP(B308,LFinder!A:A,LFinder!B:B,"absent des plateformes")</f>
        <v>absent des plateformes</v>
      </c>
    </row>
    <row r="309">
      <c r="A309" s="3" t="s">
        <v>413</v>
      </c>
      <c r="B309" s="4" t="str">
        <f>IFERROR(__xludf.DUMMYFUNCTION("REGEXREPLACE(A309, ""^https?://(www\.)?|/.*"", """")"),"speltz-avocats.com")</f>
        <v>speltz-avocats.com</v>
      </c>
      <c r="C309" s="1" t="s">
        <v>8</v>
      </c>
      <c r="D309" s="1">
        <v>2.0</v>
      </c>
      <c r="E309" s="1" t="s">
        <v>407</v>
      </c>
      <c r="F309" s="1" t="s">
        <v>10</v>
      </c>
      <c r="G309" s="5" t="str">
        <f t="array" ref="G309">XLOOKUP(B309,LFinder!A:A,LFinder!B:B,"absent des plateformes")</f>
        <v>absent des plateformes</v>
      </c>
    </row>
    <row r="310">
      <c r="A310" s="3" t="s">
        <v>414</v>
      </c>
      <c r="B310" s="4" t="str">
        <f>IFERROR(__xludf.DUMMYFUNCTION("REGEXREPLACE(A310, ""^https?://(www\.)?|/.*"", """")"),"azria-avocats.com")</f>
        <v>azria-avocats.com</v>
      </c>
      <c r="C310" s="1" t="s">
        <v>8</v>
      </c>
      <c r="D310" s="1">
        <v>2.0</v>
      </c>
      <c r="E310" s="1" t="s">
        <v>407</v>
      </c>
      <c r="F310" s="1" t="s">
        <v>10</v>
      </c>
      <c r="G310" s="5" t="str">
        <f t="array" ref="G310">XLOOKUP(B310,LFinder!A:A,LFinder!B:B,"absent des plateformes")</f>
        <v>absent des plateformes</v>
      </c>
    </row>
    <row r="311">
      <c r="A311" s="3" t="s">
        <v>415</v>
      </c>
      <c r="B311" s="4" t="str">
        <f>IFERROR(__xludf.DUMMYFUNCTION("REGEXREPLACE(A311, ""^https?://(www\.)?|/.*"", """")"),"cerepfrance.com")</f>
        <v>cerepfrance.com</v>
      </c>
      <c r="C311" s="1" t="s">
        <v>8</v>
      </c>
      <c r="D311" s="1">
        <v>2.0</v>
      </c>
      <c r="E311" s="1" t="s">
        <v>416</v>
      </c>
      <c r="F311" s="1" t="s">
        <v>10</v>
      </c>
      <c r="G311" s="5" t="str">
        <f t="array" ref="G311">XLOOKUP(B311,LFinder!A:A,LFinder!B:B,"absent des plateformes")</f>
        <v>absent des plateformes</v>
      </c>
    </row>
    <row r="312">
      <c r="A312" s="3" t="s">
        <v>417</v>
      </c>
      <c r="B312" s="4" t="str">
        <f>IFERROR(__xludf.DUMMYFUNCTION("REGEXREPLACE(A312, ""^https?://(www\.)?|/.*"", """")"),"essor-retraite.fr")</f>
        <v>essor-retraite.fr</v>
      </c>
      <c r="C312" s="1" t="s">
        <v>8</v>
      </c>
      <c r="D312" s="1">
        <v>2.0</v>
      </c>
      <c r="E312" s="1" t="s">
        <v>418</v>
      </c>
      <c r="F312" s="1" t="s">
        <v>10</v>
      </c>
      <c r="G312" s="5" t="str">
        <f t="array" ref="G312">XLOOKUP(B312,LFinder!A:A,LFinder!B:B,"absent des plateformes")</f>
        <v>absent des plateformes</v>
      </c>
    </row>
    <row r="313">
      <c r="A313" s="3" t="s">
        <v>419</v>
      </c>
      <c r="B313" s="4" t="str">
        <f>IFERROR(__xludf.DUMMYFUNCTION("REGEXREPLACE(A313, ""^https?://(www\.)?|/.*"", """")"),"entrepreneurhero.fr")</f>
        <v>entrepreneurhero.fr</v>
      </c>
      <c r="C313" s="1" t="s">
        <v>8</v>
      </c>
      <c r="D313" s="1">
        <v>2.0</v>
      </c>
      <c r="E313" s="1" t="s">
        <v>420</v>
      </c>
      <c r="F313" s="1" t="s">
        <v>10</v>
      </c>
      <c r="G313" s="5" t="str">
        <f t="array" ref="G313">XLOOKUP(B313,LFinder!A:A,LFinder!B:B,"absent des plateformes")</f>
        <v>absent des plateformes</v>
      </c>
    </row>
    <row r="314">
      <c r="A314" s="3" t="s">
        <v>421</v>
      </c>
      <c r="B314" s="4" t="str">
        <f>IFERROR(__xludf.DUMMYFUNCTION("REGEXREPLACE(A314, ""^https?://(www\.)?|/.*"", """")"),"ceservices.fr")</f>
        <v>ceservices.fr</v>
      </c>
      <c r="C314" s="1" t="s">
        <v>8</v>
      </c>
      <c r="D314" s="1">
        <v>2.0</v>
      </c>
      <c r="E314" s="1" t="s">
        <v>43</v>
      </c>
      <c r="F314" s="1" t="s">
        <v>54</v>
      </c>
      <c r="G314" s="5" t="str">
        <f t="array" ref="G314">XLOOKUP(B314,LFinder!A:A,LFinder!B:B,"absent des plateformes")</f>
        <v>absent des plateformes</v>
      </c>
    </row>
    <row r="315">
      <c r="A315" s="3" t="s">
        <v>422</v>
      </c>
      <c r="B315" s="4" t="str">
        <f>IFERROR(__xludf.DUMMYFUNCTION("REGEXREPLACE(A315, ""^https?://(www\.)?|/.*"", """")"),"inextenso.fr")</f>
        <v>inextenso.fr</v>
      </c>
      <c r="C315" s="1" t="s">
        <v>8</v>
      </c>
      <c r="D315" s="1">
        <v>2.0</v>
      </c>
      <c r="E315" s="1" t="s">
        <v>43</v>
      </c>
      <c r="F315" s="1" t="s">
        <v>10</v>
      </c>
      <c r="G315" s="5" t="str">
        <f t="array" ref="G315">XLOOKUP(B315,LFinder!A:A,LFinder!B:B,"absent des plateformes")</f>
        <v>absent des plateformes</v>
      </c>
    </row>
    <row r="316">
      <c r="A316" s="3" t="s">
        <v>423</v>
      </c>
      <c r="B316" s="4" t="str">
        <f>IFERROR(__xludf.DUMMYFUNCTION("REGEXREPLACE(A316, ""^https?://(www\.)?|/.*"", """")"),"sogeca.com")</f>
        <v>sogeca.com</v>
      </c>
      <c r="C316" s="1" t="s">
        <v>8</v>
      </c>
      <c r="D316" s="1">
        <v>2.0</v>
      </c>
      <c r="E316" s="1" t="s">
        <v>424</v>
      </c>
      <c r="F316" s="1" t="s">
        <v>10</v>
      </c>
      <c r="G316" s="5" t="str">
        <f t="array" ref="G316">XLOOKUP(B316,LFinder!A:A,LFinder!B:B,"absent des plateformes")</f>
        <v>absent des plateformes</v>
      </c>
    </row>
    <row r="317">
      <c r="A317" s="3" t="s">
        <v>425</v>
      </c>
      <c r="B317" s="4" t="str">
        <f>IFERROR(__xludf.DUMMYFUNCTION("REGEXREPLACE(A317, ""^https?://(www\.)?|/.*"", """")"),"sogeca.com")</f>
        <v>sogeca.com</v>
      </c>
      <c r="C317" s="1" t="s">
        <v>8</v>
      </c>
      <c r="D317" s="1">
        <v>2.0</v>
      </c>
      <c r="E317" s="1" t="s">
        <v>426</v>
      </c>
      <c r="F317" s="1" t="s">
        <v>10</v>
      </c>
      <c r="G317" s="5" t="str">
        <f t="array" ref="G317">XLOOKUP(B317,LFinder!A:A,LFinder!B:B,"absent des plateformes")</f>
        <v>absent des plateformes</v>
      </c>
    </row>
    <row r="318">
      <c r="A318" s="3" t="s">
        <v>427</v>
      </c>
      <c r="B318" s="4" t="str">
        <f>IFERROR(__xludf.DUMMYFUNCTION("REGEXREPLACE(A318, ""^https?://(www\.)?|/.*"", """")"),"aurys.fr")</f>
        <v>aurys.fr</v>
      </c>
      <c r="C318" s="1" t="s">
        <v>8</v>
      </c>
      <c r="D318" s="1">
        <v>2.0</v>
      </c>
      <c r="E318" s="1" t="s">
        <v>426</v>
      </c>
      <c r="F318" s="1" t="s">
        <v>10</v>
      </c>
      <c r="G318" s="5" t="str">
        <f t="array" ref="G318">XLOOKUP(B318,LFinder!A:A,LFinder!B:B,"absent des plateformes")</f>
        <v>absent des plateformes</v>
      </c>
    </row>
    <row r="319">
      <c r="A319" s="3" t="s">
        <v>428</v>
      </c>
      <c r="B319" s="4" t="str">
        <f>IFERROR(__xludf.DUMMYFUNCTION("REGEXREPLACE(A319, ""^https?://(www\.)?|/.*"", """")"),"joconderetraite.com")</f>
        <v>joconderetraite.com</v>
      </c>
      <c r="C319" s="1" t="s">
        <v>8</v>
      </c>
      <c r="D319" s="1">
        <v>2.0</v>
      </c>
      <c r="E319" s="1" t="s">
        <v>61</v>
      </c>
      <c r="F319" s="1" t="s">
        <v>10</v>
      </c>
      <c r="G319" s="5" t="str">
        <f t="array" ref="G319">XLOOKUP(B319,LFinder!A:A,LFinder!B:B,"absent des plateformes")</f>
        <v>absent des plateformes</v>
      </c>
    </row>
    <row r="320">
      <c r="A320" s="3" t="s">
        <v>429</v>
      </c>
      <c r="B320" s="4" t="str">
        <f>IFERROR(__xludf.DUMMYFUNCTION("REGEXREPLACE(A320, ""^https?://(www\.)?|/.*"", """")"),"flash.bpifrance.fr")</f>
        <v>flash.bpifrance.fr</v>
      </c>
      <c r="C320" s="1" t="s">
        <v>8</v>
      </c>
      <c r="D320" s="1">
        <v>2.0</v>
      </c>
      <c r="E320" s="1" t="s">
        <v>325</v>
      </c>
      <c r="F320" s="1" t="s">
        <v>10</v>
      </c>
      <c r="G320" s="5" t="str">
        <f t="array" ref="G320">XLOOKUP(B320,LFinder!A:A,LFinder!B:B,"absent des plateformes")</f>
        <v>absent des plateformes</v>
      </c>
    </row>
    <row r="321">
      <c r="A321" s="3" t="s">
        <v>430</v>
      </c>
      <c r="B321" s="4" t="str">
        <f>IFERROR(__xludf.DUMMYFUNCTION("REGEXREPLACE(A321, ""^https?://(www\.)?|/.*"", """")"),"comparateur-efacturation.fr")</f>
        <v>comparateur-efacturation.fr</v>
      </c>
      <c r="C321" s="1" t="s">
        <v>8</v>
      </c>
      <c r="D321" s="1">
        <v>2.0</v>
      </c>
      <c r="E321" s="1" t="s">
        <v>91</v>
      </c>
      <c r="F321" s="1" t="s">
        <v>10</v>
      </c>
      <c r="G321" s="5" t="str">
        <f t="array" ref="G321">XLOOKUP(B321,LFinder!A:A,LFinder!B:B,"absent des plateformes")</f>
        <v>absent des plateformes</v>
      </c>
    </row>
    <row r="322">
      <c r="A322" s="3" t="s">
        <v>431</v>
      </c>
      <c r="B322" s="4" t="str">
        <f>IFERROR(__xludf.DUMMYFUNCTION("REGEXREPLACE(A322, ""^https?://(www\.)?|/.*"", """")"),"comparateur-efacturation.fr")</f>
        <v>comparateur-efacturation.fr</v>
      </c>
      <c r="C322" s="1" t="s">
        <v>8</v>
      </c>
      <c r="D322" s="1">
        <v>2.0</v>
      </c>
      <c r="E322" s="1" t="s">
        <v>91</v>
      </c>
      <c r="F322" s="1" t="s">
        <v>10</v>
      </c>
      <c r="G322" s="5" t="str">
        <f t="array" ref="G322">XLOOKUP(B322,LFinder!A:A,LFinder!B:B,"absent des plateformes")</f>
        <v>absent des plateformes</v>
      </c>
    </row>
    <row r="323">
      <c r="A323" s="3" t="s">
        <v>432</v>
      </c>
      <c r="B323" s="4" t="str">
        <f>IFERROR(__xludf.DUMMYFUNCTION("REGEXREPLACE(A323, ""^https?://(www\.)?|/.*"", """")"),"comparateur-efacturation.fr")</f>
        <v>comparateur-efacturation.fr</v>
      </c>
      <c r="C323" s="1" t="s">
        <v>8</v>
      </c>
      <c r="D323" s="1">
        <v>2.0</v>
      </c>
      <c r="E323" s="1" t="s">
        <v>33</v>
      </c>
      <c r="F323" s="1" t="s">
        <v>54</v>
      </c>
      <c r="G323" s="5" t="str">
        <f t="array" ref="G323">XLOOKUP(B323,LFinder!A:A,LFinder!B:B,"absent des plateformes")</f>
        <v>absent des plateformes</v>
      </c>
    </row>
    <row r="324">
      <c r="A324" s="3" t="s">
        <v>433</v>
      </c>
      <c r="B324" s="4" t="str">
        <f>IFERROR(__xludf.DUMMYFUNCTION("REGEXREPLACE(A324, ""^https?://(www\.)?|/.*"", """")"),"ceepee.fr")</f>
        <v>ceepee.fr</v>
      </c>
      <c r="C324" s="1" t="s">
        <v>8</v>
      </c>
      <c r="D324" s="1">
        <v>2.0</v>
      </c>
      <c r="E324" s="1" t="s">
        <v>434</v>
      </c>
      <c r="F324" s="1" t="s">
        <v>10</v>
      </c>
      <c r="G324" s="5" t="str">
        <f t="array" ref="G324">XLOOKUP(B324,LFinder!A:A,LFinder!B:B,"absent des plateformes")</f>
        <v>absent des plateformes</v>
      </c>
    </row>
    <row r="325">
      <c r="A325" s="3" t="s">
        <v>435</v>
      </c>
      <c r="B325" s="4" t="str">
        <f>IFERROR(__xludf.DUMMYFUNCTION("REGEXREPLACE(A325, ""^https?://(www\.)?|/.*"", """")"),"cabinet-icard.com")</f>
        <v>cabinet-icard.com</v>
      </c>
      <c r="C325" s="1" t="s">
        <v>8</v>
      </c>
      <c r="D325" s="1">
        <v>2.0</v>
      </c>
      <c r="E325" s="1" t="s">
        <v>434</v>
      </c>
      <c r="F325" s="1" t="s">
        <v>10</v>
      </c>
      <c r="G325" s="5" t="str">
        <f t="array" ref="G325">XLOOKUP(B325,LFinder!A:A,LFinder!B:B,"absent des plateformes")</f>
        <v>absent des plateformes</v>
      </c>
    </row>
    <row r="326">
      <c r="A326" s="3" t="s">
        <v>436</v>
      </c>
      <c r="B326" s="4" t="str">
        <f>IFERROR(__xludf.DUMMYFUNCTION("REGEXREPLACE(A326, ""^https?://(www\.)?|/.*"", """")"),"compagnie-fiduciaire.com")</f>
        <v>compagnie-fiduciaire.com</v>
      </c>
      <c r="C326" s="1" t="s">
        <v>8</v>
      </c>
      <c r="D326" s="1">
        <v>2.0</v>
      </c>
      <c r="E326" s="1" t="s">
        <v>36</v>
      </c>
      <c r="F326" s="1" t="s">
        <v>10</v>
      </c>
      <c r="G326" s="5" t="str">
        <f t="array" ref="G326">XLOOKUP(B326,LFinder!A:A,LFinder!B:B,"absent des plateformes")</f>
        <v>absent des plateformes</v>
      </c>
    </row>
    <row r="327">
      <c r="A327" s="3" t="s">
        <v>437</v>
      </c>
      <c r="B327" s="4" t="str">
        <f>IFERROR(__xludf.DUMMYFUNCTION("REGEXREPLACE(A327, ""^https?://(www\.)?|/.*"", """")"),"compagnie-fiduciaire.com")</f>
        <v>compagnie-fiduciaire.com</v>
      </c>
      <c r="C327" s="1" t="s">
        <v>8</v>
      </c>
      <c r="D327" s="1">
        <v>2.0</v>
      </c>
      <c r="E327" s="1" t="s">
        <v>66</v>
      </c>
      <c r="F327" s="1" t="s">
        <v>10</v>
      </c>
      <c r="G327" s="5" t="str">
        <f t="array" ref="G327">XLOOKUP(B327,LFinder!A:A,LFinder!B:B,"absent des plateformes")</f>
        <v>absent des plateformes</v>
      </c>
    </row>
    <row r="328">
      <c r="A328" s="3" t="s">
        <v>438</v>
      </c>
      <c r="B328" s="4" t="str">
        <f>IFERROR(__xludf.DUMMYFUNCTION("REGEXREPLACE(A328, ""^https?://(www\.)?|/.*"", """")"),"compteo.fr")</f>
        <v>compteo.fr</v>
      </c>
      <c r="C328" s="1" t="s">
        <v>8</v>
      </c>
      <c r="D328" s="1">
        <v>2.0</v>
      </c>
      <c r="E328" s="1" t="s">
        <v>20</v>
      </c>
      <c r="F328" s="1" t="s">
        <v>10</v>
      </c>
      <c r="G328" s="5" t="str">
        <f t="array" ref="G328">XLOOKUP(B328,LFinder!A:A,LFinder!B:B,"absent des plateformes")</f>
        <v>absent des plateformes</v>
      </c>
    </row>
    <row r="329">
      <c r="A329" s="3" t="s">
        <v>439</v>
      </c>
      <c r="B329" s="4" t="str">
        <f>IFERROR(__xludf.DUMMYFUNCTION("REGEXREPLACE(A329, ""^https?://(www\.)?|/.*"", """")"),"inaripatrimoine.fr")</f>
        <v>inaripatrimoine.fr</v>
      </c>
      <c r="C329" s="1" t="s">
        <v>8</v>
      </c>
      <c r="D329" s="1">
        <v>2.0</v>
      </c>
      <c r="E329" s="1" t="s">
        <v>63</v>
      </c>
      <c r="F329" s="1" t="s">
        <v>10</v>
      </c>
      <c r="G329" s="5" t="str">
        <f t="array" ref="G329">XLOOKUP(B329,LFinder!A:A,LFinder!B:B,"absent des plateformes")</f>
        <v>absent des plateformes</v>
      </c>
    </row>
    <row r="330">
      <c r="A330" s="3" t="s">
        <v>440</v>
      </c>
      <c r="B330" s="4" t="str">
        <f>IFERROR(__xludf.DUMMYFUNCTION("REGEXREPLACE(A330, ""^https?://(www\.)?|/.*"", """")"),"conseillers-entreprises.service-public.gouv.fr")</f>
        <v>conseillers-entreprises.service-public.gouv.fr</v>
      </c>
      <c r="C330" s="1" t="s">
        <v>8</v>
      </c>
      <c r="D330" s="1">
        <v>2.0</v>
      </c>
      <c r="E330" s="1" t="s">
        <v>364</v>
      </c>
      <c r="F330" s="1" t="s">
        <v>10</v>
      </c>
      <c r="G330" s="5" t="str">
        <f t="array" ref="G330">XLOOKUP(B330,LFinder!A:A,LFinder!B:B,"absent des plateformes")</f>
        <v>absent des plateformes</v>
      </c>
    </row>
    <row r="331">
      <c r="A331" s="3" t="s">
        <v>441</v>
      </c>
      <c r="B331" s="4" t="str">
        <f>IFERROR(__xludf.DUMMYFUNCTION("REGEXREPLACE(A331, ""^https?://(www\.)?|/.*"", """")"),"jepilotemonentreprise.com")</f>
        <v>jepilotemonentreprise.com</v>
      </c>
      <c r="C331" s="1" t="s">
        <v>8</v>
      </c>
      <c r="D331" s="1">
        <v>2.0</v>
      </c>
      <c r="E331" s="1" t="s">
        <v>98</v>
      </c>
      <c r="F331" s="1" t="s">
        <v>10</v>
      </c>
      <c r="G331" s="5" t="str">
        <f t="array" ref="G331">XLOOKUP(B331,LFinder!A:A,LFinder!B:B,"absent des plateformes")</f>
        <v>absent des plateformes</v>
      </c>
    </row>
    <row r="332">
      <c r="A332" s="3" t="s">
        <v>442</v>
      </c>
      <c r="B332" s="4" t="str">
        <f>IFERROR(__xludf.DUMMYFUNCTION("REGEXREPLACE(A332, ""^https?://(www\.)?|/.*"", """")"),"perlib.fr")</f>
        <v>perlib.fr</v>
      </c>
      <c r="C332" s="1" t="s">
        <v>8</v>
      </c>
      <c r="D332" s="1">
        <v>2.0</v>
      </c>
      <c r="E332" s="1" t="s">
        <v>443</v>
      </c>
      <c r="F332" s="1" t="s">
        <v>10</v>
      </c>
      <c r="G332" s="5" t="str">
        <f t="array" ref="G332">XLOOKUP(B332,LFinder!A:A,LFinder!B:B,"absent des plateformes")</f>
        <v>absent des plateformes</v>
      </c>
    </row>
    <row r="333">
      <c r="A333" s="3" t="s">
        <v>444</v>
      </c>
      <c r="B333" s="4" t="str">
        <f>IFERROR(__xludf.DUMMYFUNCTION("REGEXREPLACE(A333, ""^https?://(www\.)?|/.*"", """")"),"agileva.fr")</f>
        <v>agileva.fr</v>
      </c>
      <c r="C333" s="1" t="s">
        <v>8</v>
      </c>
      <c r="D333" s="1">
        <v>2.0</v>
      </c>
      <c r="E333" s="1" t="s">
        <v>47</v>
      </c>
      <c r="F333" s="1" t="s">
        <v>10</v>
      </c>
      <c r="G333" s="5" t="str">
        <f t="array" ref="G333">XLOOKUP(B333,LFinder!A:A,LFinder!B:B,"absent des plateformes")</f>
        <v>absent des plateformes</v>
      </c>
    </row>
    <row r="334">
      <c r="A334" s="3" t="s">
        <v>445</v>
      </c>
      <c r="B334" s="4" t="str">
        <f>IFERROR(__xludf.DUMMYFUNCTION("REGEXREPLACE(A334, ""^https?://(www\.)?|/.*"", """")"),"cabinetcodex.fr")</f>
        <v>cabinetcodex.fr</v>
      </c>
      <c r="C334" s="1" t="s">
        <v>8</v>
      </c>
      <c r="D334" s="1">
        <v>2.0</v>
      </c>
      <c r="E334" s="1" t="s">
        <v>446</v>
      </c>
      <c r="F334" s="1" t="s">
        <v>10</v>
      </c>
      <c r="G334" s="5" t="str">
        <f t="array" ref="G334">XLOOKUP(B334,LFinder!A:A,LFinder!B:B,"absent des plateformes")</f>
        <v>absent des plateformes</v>
      </c>
    </row>
    <row r="335">
      <c r="A335" s="3" t="s">
        <v>447</v>
      </c>
      <c r="B335" s="4" t="str">
        <f>IFERROR(__xludf.DUMMYFUNCTION("REGEXREPLACE(A335, ""^https?://(www\.)?|/.*"", """")"),"facturconform.fr")</f>
        <v>facturconform.fr</v>
      </c>
      <c r="C335" s="1" t="s">
        <v>8</v>
      </c>
      <c r="D335" s="1">
        <v>2.0</v>
      </c>
      <c r="E335" s="1" t="s">
        <v>448</v>
      </c>
      <c r="F335" s="1" t="s">
        <v>10</v>
      </c>
      <c r="G335" s="5" t="str">
        <f t="array" ref="G335">XLOOKUP(B335,LFinder!A:A,LFinder!B:B,"absent des plateformes")</f>
        <v>absent des plateformes</v>
      </c>
    </row>
    <row r="336">
      <c r="A336" s="3" t="s">
        <v>449</v>
      </c>
      <c r="B336" s="4" t="str">
        <f>IFERROR(__xludf.DUMMYFUNCTION("REGEXREPLACE(A336, ""^https?://(www\.)?|/.*"", """")"),"hellobankpro.fr")</f>
        <v>hellobankpro.fr</v>
      </c>
      <c r="C336" s="1" t="s">
        <v>8</v>
      </c>
      <c r="D336" s="1">
        <v>2.0</v>
      </c>
      <c r="E336" s="1" t="s">
        <v>51</v>
      </c>
      <c r="F336" s="1" t="s">
        <v>10</v>
      </c>
      <c r="G336" s="5" t="str">
        <f t="array" ref="G336">XLOOKUP(B336,LFinder!A:A,LFinder!B:B,"absent des plateformes")</f>
        <v>absent des plateformes</v>
      </c>
    </row>
    <row r="337">
      <c r="A337" s="3" t="s">
        <v>450</v>
      </c>
      <c r="B337" s="4" t="str">
        <f>IFERROR(__xludf.DUMMYFUNCTION("REGEXREPLACE(A337, ""^https?://(www\.)?|/.*"", """")"),"hellobankpro.fr")</f>
        <v>hellobankpro.fr</v>
      </c>
      <c r="C337" s="1" t="s">
        <v>8</v>
      </c>
      <c r="D337" s="1">
        <v>2.0</v>
      </c>
      <c r="E337" s="1" t="s">
        <v>129</v>
      </c>
      <c r="F337" s="1" t="s">
        <v>10</v>
      </c>
      <c r="G337" s="5" t="str">
        <f t="array" ref="G337">XLOOKUP(B337,LFinder!A:A,LFinder!B:B,"absent des plateformes")</f>
        <v>absent des plateformes</v>
      </c>
    </row>
    <row r="338">
      <c r="A338" s="3" t="s">
        <v>451</v>
      </c>
      <c r="B338" s="4" t="str">
        <f>IFERROR(__xludf.DUMMYFUNCTION("REGEXREPLACE(A338, ""^https?://(www\.)?|/.*"", """")"),"sav.neoviaretraite.fr")</f>
        <v>sav.neoviaretraite.fr</v>
      </c>
      <c r="C338" s="1" t="s">
        <v>8</v>
      </c>
      <c r="D338" s="1">
        <v>2.0</v>
      </c>
      <c r="E338" s="1" t="s">
        <v>75</v>
      </c>
      <c r="F338" s="1" t="s">
        <v>10</v>
      </c>
      <c r="G338" s="5" t="str">
        <f t="array" ref="G338">XLOOKUP(B338,LFinder!A:A,LFinder!B:B,"absent des plateformes")</f>
        <v>absent des plateformes</v>
      </c>
    </row>
    <row r="339">
      <c r="A339" s="3" t="s">
        <v>452</v>
      </c>
      <c r="B339" s="4" t="str">
        <f>IFERROR(__xludf.DUMMYFUNCTION("REGEXREPLACE(A339, ""^https?://(www\.)?|/.*"", """")"),"aupleco.fr")</f>
        <v>aupleco.fr</v>
      </c>
      <c r="C339" s="1" t="s">
        <v>8</v>
      </c>
      <c r="D339" s="1">
        <v>2.0</v>
      </c>
      <c r="E339" s="1" t="s">
        <v>43</v>
      </c>
      <c r="F339" s="1" t="s">
        <v>10</v>
      </c>
      <c r="G339" s="5" t="str">
        <f t="array" ref="G339">XLOOKUP(B339,LFinder!A:A,LFinder!B:B,"absent des plateformes")</f>
        <v>absent des plateformes</v>
      </c>
    </row>
    <row r="340">
      <c r="A340" s="3" t="s">
        <v>453</v>
      </c>
      <c r="B340" s="4" t="str">
        <f>IFERROR(__xludf.DUMMYFUNCTION("REGEXREPLACE(A340, ""^https?://(www\.)?|/.*"", """")"),"gt-expertise.fr")</f>
        <v>gt-expertise.fr</v>
      </c>
      <c r="C340" s="1" t="s">
        <v>8</v>
      </c>
      <c r="D340" s="1">
        <v>2.0</v>
      </c>
      <c r="E340" s="1" t="s">
        <v>43</v>
      </c>
      <c r="F340" s="1" t="s">
        <v>10</v>
      </c>
      <c r="G340" s="5" t="str">
        <f t="array" ref="G340">XLOOKUP(B340,LFinder!A:A,LFinder!B:B,"absent des plateformes")</f>
        <v>absent des plateformes</v>
      </c>
    </row>
    <row r="341">
      <c r="A341" s="3" t="s">
        <v>454</v>
      </c>
      <c r="B341" s="4" t="str">
        <f>IFERROR(__xludf.DUMMYFUNCTION("REGEXREPLACE(A341, ""^https?://(www\.)?|/.*"", """")"),"kube.fr")</f>
        <v>kube.fr</v>
      </c>
      <c r="C341" s="1" t="s">
        <v>8</v>
      </c>
      <c r="D341" s="1">
        <v>2.0</v>
      </c>
      <c r="E341" s="1" t="s">
        <v>43</v>
      </c>
      <c r="F341" s="1" t="s">
        <v>10</v>
      </c>
      <c r="G341" s="5" t="str">
        <f t="array" ref="G341">XLOOKUP(B341,LFinder!A:A,LFinder!B:B,"absent des plateformes")</f>
        <v>absent des plateformes</v>
      </c>
    </row>
    <row r="342">
      <c r="A342" s="3" t="s">
        <v>455</v>
      </c>
      <c r="B342" s="4" t="str">
        <f>IFERROR(__xludf.DUMMYFUNCTION("REGEXREPLACE(A342, ""^https?://(www\.)?|/.*"", """")"),"cabinet-ceg.fr")</f>
        <v>cabinet-ceg.fr</v>
      </c>
      <c r="C342" s="1" t="s">
        <v>8</v>
      </c>
      <c r="D342" s="1">
        <v>2.0</v>
      </c>
      <c r="E342" s="1" t="s">
        <v>456</v>
      </c>
      <c r="F342" s="1" t="s">
        <v>10</v>
      </c>
      <c r="G342" s="5" t="str">
        <f t="array" ref="G342">XLOOKUP(B342,LFinder!A:A,LFinder!B:B,"absent des plateformes")</f>
        <v>absent des plateformes</v>
      </c>
    </row>
    <row r="343">
      <c r="A343" s="3" t="s">
        <v>457</v>
      </c>
      <c r="B343" s="4" t="str">
        <f>IFERROR(__xludf.DUMMYFUNCTION("REGEXREPLACE(A343, ""^https?://(www\.)?|/.*"", """")"),"factureinfo.com")</f>
        <v>factureinfo.com</v>
      </c>
      <c r="C343" s="1" t="s">
        <v>8</v>
      </c>
      <c r="D343" s="1">
        <v>2.0</v>
      </c>
      <c r="E343" s="1" t="s">
        <v>82</v>
      </c>
      <c r="F343" s="1" t="s">
        <v>10</v>
      </c>
      <c r="G343" s="5" t="str">
        <f t="array" ref="G343">XLOOKUP(B343,LFinder!A:A,LFinder!B:B,"absent des plateformes")</f>
        <v>absent des plateformes</v>
      </c>
    </row>
    <row r="344">
      <c r="A344" s="3" t="s">
        <v>458</v>
      </c>
      <c r="B344" s="4" t="str">
        <f>IFERROR(__xludf.DUMMYFUNCTION("REGEXREPLACE(A344, ""^https?://(www\.)?|/.*"", """")"),"ecifec.com")</f>
        <v>ecifec.com</v>
      </c>
      <c r="C344" s="1" t="s">
        <v>8</v>
      </c>
      <c r="D344" s="1">
        <v>2.0</v>
      </c>
      <c r="E344" s="1" t="s">
        <v>351</v>
      </c>
      <c r="F344" s="1" t="s">
        <v>10</v>
      </c>
      <c r="G344" s="5" t="str">
        <f t="array" ref="G344">XLOOKUP(B344,LFinder!A:A,LFinder!B:B,"absent des plateformes")</f>
        <v>absent des plateformes</v>
      </c>
    </row>
    <row r="345">
      <c r="A345" s="3" t="s">
        <v>459</v>
      </c>
      <c r="B345" s="4" t="str">
        <f>IFERROR(__xludf.DUMMYFUNCTION("REGEXREPLACE(A345, ""^https?://(www\.)?|/.*"", """")"),"cabinetbarret.fr")</f>
        <v>cabinetbarret.fr</v>
      </c>
      <c r="C345" s="1" t="s">
        <v>8</v>
      </c>
      <c r="D345" s="1">
        <v>2.0</v>
      </c>
      <c r="E345" s="1" t="s">
        <v>351</v>
      </c>
      <c r="F345" s="1" t="s">
        <v>10</v>
      </c>
      <c r="G345" s="5" t="str">
        <f t="array" ref="G345">XLOOKUP(B345,LFinder!A:A,LFinder!B:B,"absent des plateformes")</f>
        <v>absent des plateformes</v>
      </c>
    </row>
    <row r="346">
      <c r="A346" s="3" t="s">
        <v>460</v>
      </c>
      <c r="B346" s="4" t="str">
        <f>IFERROR(__xludf.DUMMYFUNCTION("REGEXREPLACE(A346, ""^https?://(www\.)?|/.*"", """")"),"conseil.bpifrance.fr")</f>
        <v>conseil.bpifrance.fr</v>
      </c>
      <c r="C346" s="1" t="s">
        <v>8</v>
      </c>
      <c r="D346" s="1">
        <v>2.0</v>
      </c>
      <c r="E346" s="1" t="s">
        <v>98</v>
      </c>
      <c r="F346" s="1" t="s">
        <v>10</v>
      </c>
      <c r="G346" s="5" t="str">
        <f t="array" ref="G346">XLOOKUP(B346,LFinder!A:A,LFinder!B:B,"absent des plateformes")</f>
        <v>absent des plateformes</v>
      </c>
    </row>
    <row r="347">
      <c r="A347" s="3" t="s">
        <v>461</v>
      </c>
      <c r="B347" s="4" t="str">
        <f>IFERROR(__xludf.DUMMYFUNCTION("REGEXREPLACE(A347, ""^https?://(www\.)?|/.*"", """")"),"macsf.fr")</f>
        <v>macsf.fr</v>
      </c>
      <c r="C347" s="1" t="s">
        <v>8</v>
      </c>
      <c r="D347" s="1">
        <v>2.0</v>
      </c>
      <c r="E347" s="1" t="s">
        <v>75</v>
      </c>
      <c r="F347" s="1" t="s">
        <v>10</v>
      </c>
      <c r="G347" s="5" t="str">
        <f t="array" ref="G347">XLOOKUP(B347,LFinder!A:A,LFinder!B:B,"absent des plateformes")</f>
        <v>absent des plateformes</v>
      </c>
    </row>
    <row r="348">
      <c r="A348" s="3" t="s">
        <v>462</v>
      </c>
      <c r="B348" s="4" t="str">
        <f>IFERROR(__xludf.DUMMYFUNCTION("REGEXREPLACE(A348, ""^https?://(www\.)?|/.*"", """")"),"ferless-conseil.com")</f>
        <v>ferless-conseil.com</v>
      </c>
      <c r="C348" s="1" t="s">
        <v>8</v>
      </c>
      <c r="D348" s="1">
        <v>2.0</v>
      </c>
      <c r="E348" s="1" t="s">
        <v>75</v>
      </c>
      <c r="F348" s="1" t="s">
        <v>10</v>
      </c>
      <c r="G348" s="5" t="str">
        <f t="array" ref="G348">XLOOKUP(B348,LFinder!A:A,LFinder!B:B,"absent des plateformes")</f>
        <v>absent des plateformes</v>
      </c>
    </row>
    <row r="349">
      <c r="A349" s="3" t="s">
        <v>463</v>
      </c>
      <c r="B349" s="4" t="str">
        <f>IFERROR(__xludf.DUMMYFUNCTION("REGEXREPLACE(A349, ""^https?://(www\.)?|/.*"", """")"),"selectra.info")</f>
        <v>selectra.info</v>
      </c>
      <c r="C349" s="1" t="s">
        <v>8</v>
      </c>
      <c r="D349" s="1">
        <v>2.0</v>
      </c>
      <c r="E349" s="1" t="s">
        <v>56</v>
      </c>
      <c r="F349" s="1" t="s">
        <v>10</v>
      </c>
      <c r="G349" s="5" t="str">
        <f t="array" ref="G349">XLOOKUP(B349,LFinder!A:A,LFinder!B:B,"absent des plateformes")</f>
        <v>absent des plateformes</v>
      </c>
    </row>
    <row r="350">
      <c r="A350" s="3" t="s">
        <v>464</v>
      </c>
      <c r="B350" s="4" t="str">
        <f>IFERROR(__xludf.DUMMYFUNCTION("REGEXREPLACE(A350, ""^https?://(www\.)?|/.*"", """")"),"eurekapaie.eu")</f>
        <v>eurekapaie.eu</v>
      </c>
      <c r="C350" s="1" t="s">
        <v>8</v>
      </c>
      <c r="D350" s="1">
        <v>2.0</v>
      </c>
      <c r="E350" s="1" t="s">
        <v>465</v>
      </c>
      <c r="F350" s="1" t="s">
        <v>10</v>
      </c>
      <c r="G350" s="5" t="str">
        <f t="array" ref="G350">XLOOKUP(B350,LFinder!A:A,LFinder!B:B,"absent des plateformes")</f>
        <v>absent des plateformes</v>
      </c>
    </row>
    <row r="351">
      <c r="A351" s="3" t="s">
        <v>466</v>
      </c>
      <c r="B351" s="4" t="str">
        <f>IFERROR(__xludf.DUMMYFUNCTION("REGEXREPLACE(A351, ""^https?://(www\.)?|/.*"", """")"),"merx-paie.com")</f>
        <v>merx-paie.com</v>
      </c>
      <c r="C351" s="1" t="s">
        <v>8</v>
      </c>
      <c r="D351" s="1">
        <v>2.0</v>
      </c>
      <c r="E351" s="1" t="s">
        <v>465</v>
      </c>
      <c r="F351" s="1" t="s">
        <v>10</v>
      </c>
      <c r="G351" s="5" t="str">
        <f t="array" ref="G351">XLOOKUP(B351,LFinder!A:A,LFinder!B:B,"absent des plateformes")</f>
        <v>absent des plateformes</v>
      </c>
    </row>
    <row r="352">
      <c r="A352" s="3" t="s">
        <v>467</v>
      </c>
      <c r="B352" s="4" t="str">
        <f>IFERROR(__xludf.DUMMYFUNCTION("REGEXREPLACE(A352, ""^https?://(www\.)?|/.*"", """")"),"cabinet-relief.fr")</f>
        <v>cabinet-relief.fr</v>
      </c>
      <c r="C352" s="1" t="s">
        <v>8</v>
      </c>
      <c r="D352" s="1">
        <v>2.0</v>
      </c>
      <c r="E352" s="1" t="s">
        <v>465</v>
      </c>
      <c r="F352" s="1" t="s">
        <v>10</v>
      </c>
      <c r="G352" s="5" t="str">
        <f t="array" ref="G352">XLOOKUP(B352,LFinder!A:A,LFinder!B:B,"absent des plateformes")</f>
        <v>absent des plateformes</v>
      </c>
    </row>
    <row r="353">
      <c r="A353" s="3" t="s">
        <v>468</v>
      </c>
      <c r="B353" s="4" t="str">
        <f>IFERROR(__xludf.DUMMYFUNCTION("REGEXREPLACE(A353, ""^https?://(www\.)?|/.*"", """")"),"s-paie.com")</f>
        <v>s-paie.com</v>
      </c>
      <c r="C353" s="1" t="s">
        <v>8</v>
      </c>
      <c r="D353" s="1">
        <v>2.0</v>
      </c>
      <c r="E353" s="1" t="s">
        <v>465</v>
      </c>
      <c r="F353" s="1" t="s">
        <v>10</v>
      </c>
      <c r="G353" s="5" t="str">
        <f t="array" ref="G353">XLOOKUP(B353,LFinder!A:A,LFinder!B:B,"absent des plateformes")</f>
        <v>absent des plateformes</v>
      </c>
    </row>
    <row r="354">
      <c r="A354" s="3" t="s">
        <v>469</v>
      </c>
      <c r="B354" s="4" t="str">
        <f>IFERROR(__xludf.DUMMYFUNCTION("REGEXREPLACE(A354, ""^https?://(www\.)?|/.*"", """")"),"compta-intouch.com")</f>
        <v>compta-intouch.com</v>
      </c>
      <c r="C354" s="1" t="s">
        <v>8</v>
      </c>
      <c r="D354" s="1">
        <v>2.0</v>
      </c>
      <c r="E354" s="1" t="s">
        <v>292</v>
      </c>
      <c r="F354" s="1" t="s">
        <v>10</v>
      </c>
      <c r="G354" s="5" t="str">
        <f t="array" ref="G354">XLOOKUP(B354,LFinder!A:A,LFinder!B:B,"absent des plateformes")</f>
        <v>absent des plateformes</v>
      </c>
    </row>
    <row r="355">
      <c r="A355" s="3" t="s">
        <v>470</v>
      </c>
      <c r="B355" s="4" t="str">
        <f>IFERROR(__xludf.DUMMYFUNCTION("REGEXREPLACE(A355, ""^https?://(www\.)?|/.*"", """")"),"l-expert-comptable.com")</f>
        <v>l-expert-comptable.com</v>
      </c>
      <c r="C355" s="1" t="s">
        <v>8</v>
      </c>
      <c r="D355" s="1">
        <v>2.0</v>
      </c>
      <c r="E355" s="1" t="s">
        <v>434</v>
      </c>
      <c r="F355" s="1" t="s">
        <v>10</v>
      </c>
      <c r="G355" s="5" t="str">
        <f t="array" ref="G355">XLOOKUP(B355,LFinder!A:A,LFinder!B:B,"absent des plateformes")</f>
        <v>absent des plateformes</v>
      </c>
    </row>
    <row r="356">
      <c r="A356" s="3" t="s">
        <v>471</v>
      </c>
      <c r="B356" s="4" t="str">
        <f>IFERROR(__xludf.DUMMYFUNCTION("REGEXREPLACE(A356, ""^https?://(www\.)?|/.*"", """")"),"shine.fr")</f>
        <v>shine.fr</v>
      </c>
      <c r="C356" s="1" t="s">
        <v>8</v>
      </c>
      <c r="D356" s="1">
        <v>2.0</v>
      </c>
      <c r="E356" s="1" t="s">
        <v>129</v>
      </c>
      <c r="F356" s="1" t="s">
        <v>10</v>
      </c>
      <c r="G356" s="5" t="str">
        <f t="array" ref="G356">XLOOKUP(B356,LFinder!A:A,LFinder!B:B,"absent des plateformes")</f>
        <v>absent des plateformes</v>
      </c>
    </row>
    <row r="357">
      <c r="A357" s="3" t="s">
        <v>472</v>
      </c>
      <c r="B357" s="4" t="str">
        <f>IFERROR(__xludf.DUMMYFUNCTION("REGEXREPLACE(A357, ""^https?://(www\.)?|/.*"", """")"),"swisslife.fr")</f>
        <v>swisslife.fr</v>
      </c>
      <c r="C357" s="1" t="s">
        <v>8</v>
      </c>
      <c r="D357" s="1">
        <v>2.0</v>
      </c>
      <c r="E357" s="1" t="s">
        <v>337</v>
      </c>
      <c r="F357" s="1" t="s">
        <v>10</v>
      </c>
      <c r="G357" s="5" t="str">
        <f t="array" ref="G357">XLOOKUP(B357,LFinder!A:A,LFinder!B:B,"absent des plateformes")</f>
        <v>absent des plateformes</v>
      </c>
    </row>
    <row r="358">
      <c r="A358" s="3" t="s">
        <v>473</v>
      </c>
      <c r="B358" s="4" t="str">
        <f>IFERROR(__xludf.DUMMYFUNCTION("REGEXREPLACE(A358, ""^https?://(www\.)?|/.*"", """")"),"agirc-arrco.fr")</f>
        <v>agirc-arrco.fr</v>
      </c>
      <c r="C358" s="1" t="s">
        <v>8</v>
      </c>
      <c r="D358" s="1">
        <v>2.0</v>
      </c>
      <c r="E358" s="1" t="s">
        <v>416</v>
      </c>
      <c r="F358" s="1" t="s">
        <v>10</v>
      </c>
      <c r="G358" s="5" t="str">
        <f t="array" ref="G358">XLOOKUP(B358,LFinder!A:A,LFinder!B:B,"absent des plateformes")</f>
        <v>absent des plateformes</v>
      </c>
    </row>
    <row r="359">
      <c r="A359" s="3" t="s">
        <v>474</v>
      </c>
      <c r="B359" s="4" t="str">
        <f>IFERROR(__xludf.DUMMYFUNCTION("REGEXREPLACE(A359, ""^https?://(www\.)?|/.*"", """")"),"legalstart.fr")</f>
        <v>legalstart.fr</v>
      </c>
      <c r="C359" s="1" t="s">
        <v>8</v>
      </c>
      <c r="D359" s="1">
        <v>2.0</v>
      </c>
      <c r="E359" s="1" t="s">
        <v>129</v>
      </c>
      <c r="F359" s="1" t="s">
        <v>10</v>
      </c>
      <c r="G359" s="5" t="str">
        <f t="array" ref="G359">XLOOKUP(B359,LFinder!A:A,LFinder!B:B,"absent des plateformes")</f>
        <v>absent des plateformes</v>
      </c>
    </row>
    <row r="360">
      <c r="A360" s="3" t="s">
        <v>475</v>
      </c>
      <c r="B360" s="4" t="str">
        <f>IFERROR(__xludf.DUMMYFUNCTION("REGEXREPLACE(A360, ""^https?://(www\.)?|/.*"", """")"),"capitaine-banque.com")</f>
        <v>capitaine-banque.com</v>
      </c>
      <c r="C360" s="1" t="s">
        <v>8</v>
      </c>
      <c r="D360" s="1">
        <v>2.0</v>
      </c>
      <c r="E360" s="1" t="s">
        <v>51</v>
      </c>
      <c r="F360" s="1" t="s">
        <v>10</v>
      </c>
      <c r="G360" s="5" t="str">
        <f t="array" ref="G360">XLOOKUP(B360,LFinder!A:A,LFinder!B:B,"absent des plateformes")</f>
        <v>absent des plateformes</v>
      </c>
    </row>
    <row r="361">
      <c r="A361" s="3" t="s">
        <v>476</v>
      </c>
      <c r="B361" s="4" t="str">
        <f>IFERROR(__xludf.DUMMYFUNCTION("REGEXREPLACE(A361, ""^https?://(www\.)?|/.*"", """")"),"capitaine-banque.com")</f>
        <v>capitaine-banque.com</v>
      </c>
      <c r="C361" s="1" t="s">
        <v>8</v>
      </c>
      <c r="D361" s="1">
        <v>2.0</v>
      </c>
      <c r="E361" s="1" t="s">
        <v>51</v>
      </c>
      <c r="F361" s="1" t="s">
        <v>10</v>
      </c>
      <c r="G361" s="5" t="str">
        <f t="array" ref="G361">XLOOKUP(B361,LFinder!A:A,LFinder!B:B,"absent des plateformes")</f>
        <v>absent des plateformes</v>
      </c>
    </row>
    <row r="362">
      <c r="A362" s="3" t="s">
        <v>477</v>
      </c>
      <c r="B362" s="4" t="str">
        <f>IFERROR(__xludf.DUMMYFUNCTION("REGEXREPLACE(A362, ""^https?://(www\.)?|/.*"", """")"),"groupepayeexpertsolutions.fr")</f>
        <v>groupepayeexpertsolutions.fr</v>
      </c>
      <c r="C362" s="1" t="s">
        <v>8</v>
      </c>
      <c r="D362" s="1">
        <v>2.0</v>
      </c>
      <c r="E362" s="1" t="s">
        <v>31</v>
      </c>
      <c r="F362" s="1" t="s">
        <v>10</v>
      </c>
      <c r="G362" s="5" t="str">
        <f t="array" ref="G362">XLOOKUP(B362,LFinder!A:A,LFinder!B:B,"absent des plateformes")</f>
        <v>absent des plateformes</v>
      </c>
    </row>
    <row r="363">
      <c r="A363" s="3" t="s">
        <v>478</v>
      </c>
      <c r="B363" s="4" t="str">
        <f>IFERROR(__xludf.DUMMYFUNCTION("REGEXREPLACE(A363, ""^https?://(www\.)?|/.*"", """")"),"pay-expert.fr")</f>
        <v>pay-expert.fr</v>
      </c>
      <c r="C363" s="1" t="s">
        <v>8</v>
      </c>
      <c r="D363" s="1">
        <v>2.0</v>
      </c>
      <c r="E363" s="1" t="s">
        <v>263</v>
      </c>
      <c r="F363" s="1" t="s">
        <v>10</v>
      </c>
      <c r="G363" s="5" t="str">
        <f t="array" ref="G363">XLOOKUP(B363,LFinder!A:A,LFinder!B:B,"absent des plateformes")</f>
        <v>absent des plateformes</v>
      </c>
    </row>
    <row r="364">
      <c r="A364" s="3" t="s">
        <v>479</v>
      </c>
      <c r="B364" s="4" t="str">
        <f>IFERROR(__xludf.DUMMYFUNCTION("REGEXREPLACE(A364, ""^https?://(www\.)?|/.*"", """")"),"cabinet-gestionsocialeconseil.fr")</f>
        <v>cabinet-gestionsocialeconseil.fr</v>
      </c>
      <c r="C364" s="1" t="s">
        <v>8</v>
      </c>
      <c r="D364" s="1">
        <v>2.0</v>
      </c>
      <c r="E364" s="1" t="s">
        <v>263</v>
      </c>
      <c r="F364" s="1" t="s">
        <v>10</v>
      </c>
      <c r="G364" s="5" t="str">
        <f t="array" ref="G364">XLOOKUP(B364,LFinder!A:A,LFinder!B:B,"absent des plateformes")</f>
        <v>absent des plateformes</v>
      </c>
    </row>
    <row r="365">
      <c r="A365" s="3" t="s">
        <v>480</v>
      </c>
      <c r="B365" s="4" t="str">
        <f>IFERROR(__xludf.DUMMYFUNCTION("REGEXREPLACE(A365, ""^https?://(www\.)?|/.*"", """")"),"cabinet-gestionsocialeconseil.fr")</f>
        <v>cabinet-gestionsocialeconseil.fr</v>
      </c>
      <c r="C365" s="1" t="s">
        <v>8</v>
      </c>
      <c r="D365" s="1">
        <v>2.0</v>
      </c>
      <c r="E365" s="1" t="s">
        <v>263</v>
      </c>
      <c r="F365" s="1" t="s">
        <v>10</v>
      </c>
      <c r="G365" s="5" t="str">
        <f t="array" ref="G365">XLOOKUP(B365,LFinder!A:A,LFinder!B:B,"absent des plateformes")</f>
        <v>absent des plateformes</v>
      </c>
    </row>
    <row r="366">
      <c r="A366" s="3" t="s">
        <v>481</v>
      </c>
      <c r="B366" s="4" t="str">
        <f>IFERROR(__xludf.DUMMYFUNCTION("REGEXREPLACE(A366, ""^https?://(www\.)?|/.*"", """")"),"lexipaie.com")</f>
        <v>lexipaie.com</v>
      </c>
      <c r="C366" s="1" t="s">
        <v>8</v>
      </c>
      <c r="D366" s="1">
        <v>2.0</v>
      </c>
      <c r="E366" s="1" t="s">
        <v>263</v>
      </c>
      <c r="F366" s="1" t="s">
        <v>10</v>
      </c>
      <c r="G366" s="5" t="str">
        <f t="array" ref="G366">XLOOKUP(B366,LFinder!A:A,LFinder!B:B,"absent des plateformes")</f>
        <v>absent des plateformes</v>
      </c>
    </row>
    <row r="367">
      <c r="A367" s="3" t="s">
        <v>482</v>
      </c>
      <c r="B367" s="4" t="str">
        <f>IFERROR(__xludf.DUMMYFUNCTION("REGEXREPLACE(A367, ""^https?://(www\.)?|/.*"", """")"),"genpaie.fr")</f>
        <v>genpaie.fr</v>
      </c>
      <c r="C367" s="1" t="s">
        <v>8</v>
      </c>
      <c r="D367" s="1">
        <v>2.0</v>
      </c>
      <c r="E367" s="1" t="s">
        <v>263</v>
      </c>
      <c r="F367" s="1" t="s">
        <v>10</v>
      </c>
      <c r="G367" s="5" t="str">
        <f t="array" ref="G367">XLOOKUP(B367,LFinder!A:A,LFinder!B:B,"absent des plateformes")</f>
        <v>absent des plateformes</v>
      </c>
    </row>
    <row r="368">
      <c r="A368" s="3" t="s">
        <v>483</v>
      </c>
      <c r="B368" s="4" t="str">
        <f>IFERROR(__xludf.DUMMYFUNCTION("REGEXREPLACE(A368, ""^https?://(www\.)?|/.*"", """")"),"payexpertise.fr")</f>
        <v>payexpertise.fr</v>
      </c>
      <c r="C368" s="1" t="s">
        <v>8</v>
      </c>
      <c r="D368" s="1">
        <v>2.0</v>
      </c>
      <c r="E368" s="1" t="s">
        <v>263</v>
      </c>
      <c r="F368" s="1" t="s">
        <v>10</v>
      </c>
      <c r="G368" s="5" t="str">
        <f t="array" ref="G368">XLOOKUP(B368,LFinder!A:A,LFinder!B:B,"absent des plateformes")</f>
        <v>absent des plateformes</v>
      </c>
    </row>
    <row r="369">
      <c r="A369" s="3" t="s">
        <v>484</v>
      </c>
      <c r="B369" s="4" t="str">
        <f>IFERROR(__xludf.DUMMYFUNCTION("REGEXREPLACE(A369, ""^https?://(www\.)?|/.*"", """")"),"blog.tiime.fr")</f>
        <v>blog.tiime.fr</v>
      </c>
      <c r="C369" s="1" t="s">
        <v>8</v>
      </c>
      <c r="D369" s="1">
        <v>2.0</v>
      </c>
      <c r="E369" s="1" t="s">
        <v>91</v>
      </c>
      <c r="F369" s="1" t="s">
        <v>10</v>
      </c>
      <c r="G369" s="5" t="str">
        <f t="array" ref="G369">XLOOKUP(B369,LFinder!A:A,LFinder!B:B,"absent des plateformes")</f>
        <v>absent des plateformes</v>
      </c>
    </row>
    <row r="370">
      <c r="A370" s="3" t="s">
        <v>485</v>
      </c>
      <c r="B370" s="4" t="str">
        <f>IFERROR(__xludf.DUMMYFUNCTION("REGEXREPLACE(A370, ""^https?://(www\.)?|/.*"", """")"),"blog.tiime.fr")</f>
        <v>blog.tiime.fr</v>
      </c>
      <c r="C370" s="1" t="s">
        <v>8</v>
      </c>
      <c r="D370" s="1">
        <v>2.0</v>
      </c>
      <c r="E370" s="1" t="s">
        <v>486</v>
      </c>
      <c r="F370" s="1" t="s">
        <v>10</v>
      </c>
      <c r="G370" s="5" t="str">
        <f t="array" ref="G370">XLOOKUP(B370,LFinder!A:A,LFinder!B:B,"absent des plateformes")</f>
        <v>absent des plateformes</v>
      </c>
    </row>
    <row r="371">
      <c r="A371" s="3" t="s">
        <v>487</v>
      </c>
      <c r="B371" s="4" t="str">
        <f>IFERROR(__xludf.DUMMYFUNCTION("REGEXREPLACE(A371, ""^https?://(www\.)?|/.*"", """")"),"expert-comptable-tpe.fr")</f>
        <v>expert-comptable-tpe.fr</v>
      </c>
      <c r="C371" s="1" t="s">
        <v>8</v>
      </c>
      <c r="D371" s="1">
        <v>2.0</v>
      </c>
      <c r="E371" s="1" t="s">
        <v>323</v>
      </c>
      <c r="F371" s="1" t="s">
        <v>10</v>
      </c>
      <c r="G371" s="5" t="str">
        <f t="array" ref="G371">XLOOKUP(B371,LFinder!A:A,LFinder!B:B,"absent des plateformes")</f>
        <v>absent des plateformes</v>
      </c>
    </row>
    <row r="372">
      <c r="A372" s="3" t="s">
        <v>488</v>
      </c>
      <c r="B372" s="4" t="str">
        <f>IFERROR(__xludf.DUMMYFUNCTION("REGEXREPLACE(A372, ""^https?://(www\.)?|/.*"", """")"),"expert-comptable-tpe.fr")</f>
        <v>expert-comptable-tpe.fr</v>
      </c>
      <c r="C372" s="1" t="s">
        <v>8</v>
      </c>
      <c r="D372" s="1">
        <v>2.0</v>
      </c>
      <c r="E372" s="1" t="s">
        <v>323</v>
      </c>
      <c r="F372" s="1" t="s">
        <v>10</v>
      </c>
      <c r="G372" s="5" t="str">
        <f t="array" ref="G372">XLOOKUP(B372,LFinder!A:A,LFinder!B:B,"absent des plateformes")</f>
        <v>absent des plateformes</v>
      </c>
    </row>
    <row r="373">
      <c r="A373" s="3" t="s">
        <v>489</v>
      </c>
      <c r="B373" s="4" t="str">
        <f>IFERROR(__xludf.DUMMYFUNCTION("REGEXREPLACE(A373, ""^https?://(www\.)?|/.*"", """")"),"fiducial.fr")</f>
        <v>fiducial.fr</v>
      </c>
      <c r="C373" s="1" t="s">
        <v>8</v>
      </c>
      <c r="D373" s="1">
        <v>2.0</v>
      </c>
      <c r="E373" s="1" t="s">
        <v>323</v>
      </c>
      <c r="F373" s="1" t="s">
        <v>54</v>
      </c>
      <c r="G373" s="5" t="str">
        <f t="array" ref="G373">XLOOKUP(B373,LFinder!A:A,LFinder!B:B,"absent des plateformes")</f>
        <v>absent des plateformes</v>
      </c>
    </row>
    <row r="374">
      <c r="A374" s="3" t="s">
        <v>490</v>
      </c>
      <c r="B374" s="4" t="str">
        <f>IFERROR(__xludf.DUMMYFUNCTION("REGEXREPLACE(A374, ""^https?://(www\.)?|/.*"", """")"),"fiducial.fr")</f>
        <v>fiducial.fr</v>
      </c>
      <c r="C374" s="1" t="s">
        <v>8</v>
      </c>
      <c r="D374" s="1">
        <v>2.0</v>
      </c>
      <c r="E374" s="1" t="s">
        <v>51</v>
      </c>
      <c r="F374" s="1" t="s">
        <v>54</v>
      </c>
      <c r="G374" s="5" t="str">
        <f t="array" ref="G374">XLOOKUP(B374,LFinder!A:A,LFinder!B:B,"absent des plateformes")</f>
        <v>absent des plateformes</v>
      </c>
    </row>
    <row r="375">
      <c r="A375" s="3" t="s">
        <v>491</v>
      </c>
      <c r="B375" s="4" t="str">
        <f>IFERROR(__xludf.DUMMYFUNCTION("REGEXREPLACE(A375, ""^https?://(www\.)?|/.*"", """")"),"tgs-france.fr")</f>
        <v>tgs-france.fr</v>
      </c>
      <c r="C375" s="1" t="s">
        <v>8</v>
      </c>
      <c r="D375" s="1">
        <v>2.0</v>
      </c>
      <c r="E375" s="1" t="s">
        <v>43</v>
      </c>
      <c r="F375" s="1" t="s">
        <v>10</v>
      </c>
      <c r="G375" s="5" t="str">
        <f t="array" ref="G375">XLOOKUP(B375,LFinder!A:A,LFinder!B:B,"absent des plateformes")</f>
        <v>absent des plateformes</v>
      </c>
    </row>
    <row r="376">
      <c r="A376" s="3" t="s">
        <v>492</v>
      </c>
      <c r="B376" s="4" t="str">
        <f>IFERROR(__xludf.DUMMYFUNCTION("REGEXREPLACE(A376, ""^https?://(www\.)?|/.*"", """")"),"propulsebyca.fr")</f>
        <v>propulsebyca.fr</v>
      </c>
      <c r="C376" s="1" t="s">
        <v>8</v>
      </c>
      <c r="D376" s="1">
        <v>2.0</v>
      </c>
      <c r="E376" s="1" t="s">
        <v>342</v>
      </c>
      <c r="F376" s="1" t="s">
        <v>10</v>
      </c>
      <c r="G376" s="5" t="str">
        <f t="array" ref="G376">XLOOKUP(B376,LFinder!A:A,LFinder!B:B,"absent des plateformes")</f>
        <v>absent des plateformes</v>
      </c>
    </row>
    <row r="377">
      <c r="A377" s="3" t="s">
        <v>493</v>
      </c>
      <c r="B377" s="4" t="str">
        <f>IFERROR(__xludf.DUMMYFUNCTION("REGEXREPLACE(A377, ""^https?://(www\.)?|/.*"", """")"),"propulsebyca.fr")</f>
        <v>propulsebyca.fr</v>
      </c>
      <c r="C377" s="1" t="s">
        <v>8</v>
      </c>
      <c r="D377" s="1">
        <v>2.0</v>
      </c>
      <c r="E377" s="1" t="s">
        <v>66</v>
      </c>
      <c r="F377" s="1" t="s">
        <v>10</v>
      </c>
      <c r="G377" s="5" t="str">
        <f t="array" ref="G377">XLOOKUP(B377,LFinder!A:A,LFinder!B:B,"absent des plateformes")</f>
        <v>absent des plateformes</v>
      </c>
    </row>
    <row r="378">
      <c r="A378" s="3" t="s">
        <v>494</v>
      </c>
      <c r="B378" s="4" t="str">
        <f>IFERROR(__xludf.DUMMYFUNCTION("REGEXREPLACE(A378, ""^https?://(www\.)?|/.*"", """")"),"keobiz.fr")</f>
        <v>keobiz.fr</v>
      </c>
      <c r="C378" s="1" t="s">
        <v>8</v>
      </c>
      <c r="D378" s="1">
        <v>2.0</v>
      </c>
      <c r="E378" s="1" t="s">
        <v>230</v>
      </c>
      <c r="F378" s="1" t="s">
        <v>54</v>
      </c>
      <c r="G378" s="5" t="str">
        <f t="array" ref="G378">XLOOKUP(B378,LFinder!A:A,LFinder!B:B,"absent des plateformes")</f>
        <v>absent des plateformes</v>
      </c>
    </row>
    <row r="379">
      <c r="A379" s="3" t="s">
        <v>495</v>
      </c>
      <c r="B379" s="4" t="str">
        <f>IFERROR(__xludf.DUMMYFUNCTION("REGEXREPLACE(A379, ""^https?://(www\.)?|/.*"", """")"),"keobiz.fr")</f>
        <v>keobiz.fr</v>
      </c>
      <c r="C379" s="1" t="s">
        <v>8</v>
      </c>
      <c r="D379" s="1">
        <v>2.0</v>
      </c>
      <c r="E379" s="1" t="s">
        <v>496</v>
      </c>
      <c r="F379" s="1" t="s">
        <v>10</v>
      </c>
      <c r="G379" s="5" t="str">
        <f t="array" ref="G379">XLOOKUP(B379,LFinder!A:A,LFinder!B:B,"absent des plateformes")</f>
        <v>absent des plateformes</v>
      </c>
    </row>
    <row r="380">
      <c r="A380" s="3" t="s">
        <v>497</v>
      </c>
      <c r="B380" s="4" t="str">
        <f>IFERROR(__xludf.DUMMYFUNCTION("REGEXREPLACE(A380, ""^https?://(www\.)?|/.*"", """")"),"fr.trustpilot.com")</f>
        <v>fr.trustpilot.com</v>
      </c>
      <c r="C380" s="1" t="s">
        <v>8</v>
      </c>
      <c r="D380" s="1">
        <v>2.0</v>
      </c>
      <c r="E380" s="1" t="s">
        <v>53</v>
      </c>
      <c r="F380" s="1" t="s">
        <v>10</v>
      </c>
      <c r="G380" s="5" t="str">
        <f t="array" ref="G380">XLOOKUP(B380,LFinder!A:A,LFinder!B:B,"absent des plateformes")</f>
        <v>absent des plateformes</v>
      </c>
    </row>
    <row r="381">
      <c r="A381" s="3" t="s">
        <v>498</v>
      </c>
      <c r="B381" s="4" t="str">
        <f>IFERROR(__xludf.DUMMYFUNCTION("REGEXREPLACE(A381, ""^https?://(www\.)?|/.*"", """")"),"dougs.fr")</f>
        <v>dougs.fr</v>
      </c>
      <c r="C381" s="1" t="s">
        <v>8</v>
      </c>
      <c r="D381" s="1">
        <v>2.0</v>
      </c>
      <c r="E381" s="1" t="s">
        <v>486</v>
      </c>
      <c r="F381" s="1" t="s">
        <v>10</v>
      </c>
      <c r="G381" s="5" t="str">
        <f t="array" ref="G381">XLOOKUP(B381,LFinder!A:A,LFinder!B:B,"absent des plateformes")</f>
        <v>absent des plateformes</v>
      </c>
    </row>
    <row r="382">
      <c r="A382" s="3" t="s">
        <v>499</v>
      </c>
      <c r="B382" s="4" t="str">
        <f>IFERROR(__xludf.DUMMYFUNCTION("REGEXREPLACE(A382, ""^https?://(www\.)?|/.*"", """")"),"pennylane.com")</f>
        <v>pennylane.com</v>
      </c>
      <c r="C382" s="1" t="s">
        <v>8</v>
      </c>
      <c r="D382" s="1">
        <v>2.0</v>
      </c>
      <c r="E382" s="1" t="s">
        <v>51</v>
      </c>
      <c r="F382" s="1" t="s">
        <v>10</v>
      </c>
      <c r="G382" s="5" t="str">
        <f t="array" ref="G382">XLOOKUP(B382,LFinder!A:A,LFinder!B:B,"absent des plateformes")</f>
        <v>absent des plateformes</v>
      </c>
    </row>
    <row r="383">
      <c r="A383" s="3" t="s">
        <v>500</v>
      </c>
      <c r="B383" s="4" t="str">
        <f>IFERROR(__xludf.DUMMYFUNCTION("REGEXREPLACE(A383, ""^https?://(www\.)?|/.*"", """")"),"esker.fr")</f>
        <v>esker.fr</v>
      </c>
      <c r="C383" s="1" t="s">
        <v>8</v>
      </c>
      <c r="D383" s="1">
        <v>2.0</v>
      </c>
      <c r="E383" s="1" t="s">
        <v>66</v>
      </c>
      <c r="F383" s="1" t="s">
        <v>10</v>
      </c>
      <c r="G383" s="5" t="str">
        <f t="array" ref="G383">XLOOKUP(B383,LFinder!A:A,LFinder!B:B,"absent des plateformes")</f>
        <v>absent des plateformes</v>
      </c>
    </row>
    <row r="384">
      <c r="A384" s="3" t="s">
        <v>501</v>
      </c>
      <c r="B384" s="4" t="str">
        <f>IFERROR(__xludf.DUMMYFUNCTION("REGEXREPLACE(A384, ""^https?://(www\.)?|/.*"", """")"),"independant.io")</f>
        <v>independant.io</v>
      </c>
      <c r="C384" s="1" t="s">
        <v>8</v>
      </c>
      <c r="D384" s="1">
        <v>2.0</v>
      </c>
      <c r="E384" s="1" t="s">
        <v>342</v>
      </c>
      <c r="F384" s="1" t="s">
        <v>54</v>
      </c>
      <c r="G384" s="5" t="str">
        <f t="array" ref="G384">XLOOKUP(B384,LFinder!A:A,LFinder!B:B,"absent des plateformes")</f>
        <v>absent des plateformes</v>
      </c>
    </row>
    <row r="385">
      <c r="A385" s="3" t="s">
        <v>502</v>
      </c>
      <c r="B385" s="4" t="str">
        <f>IFERROR(__xludf.DUMMYFUNCTION("REGEXREPLACE(A385, ""^https?://(www\.)?|/.*"", """")"),"independant.io")</f>
        <v>independant.io</v>
      </c>
      <c r="C385" s="1" t="s">
        <v>8</v>
      </c>
      <c r="D385" s="1">
        <v>2.0</v>
      </c>
      <c r="E385" s="1" t="s">
        <v>66</v>
      </c>
      <c r="F385" s="1" t="s">
        <v>54</v>
      </c>
      <c r="G385" s="5" t="str">
        <f t="array" ref="G385">XLOOKUP(B385,LFinder!A:A,LFinder!B:B,"absent des plateformes")</f>
        <v>absent des plateformes</v>
      </c>
    </row>
    <row r="386">
      <c r="A386" s="3" t="s">
        <v>503</v>
      </c>
      <c r="B386" s="4" t="str">
        <f>IFERROR(__xludf.DUMMYFUNCTION("REGEXREPLACE(A386, ""^https?://(www\.)?|/.*"", """")"),"comparepdp.com")</f>
        <v>comparepdp.com</v>
      </c>
      <c r="C386" s="1" t="s">
        <v>8</v>
      </c>
      <c r="D386" s="1">
        <v>2.0</v>
      </c>
      <c r="E386" s="1" t="s">
        <v>33</v>
      </c>
      <c r="F386" s="1" t="s">
        <v>10</v>
      </c>
      <c r="G386" s="5" t="str">
        <f t="array" ref="G386">XLOOKUP(B386,LFinder!A:A,LFinder!B:B,"absent des plateformes")</f>
        <v>absent des plateformes</v>
      </c>
    </row>
    <row r="387">
      <c r="A387" s="3" t="s">
        <v>504</v>
      </c>
      <c r="B387" s="4" t="str">
        <f>IFERROR(__xludf.DUMMYFUNCTION("REGEXREPLACE(A387, ""^https?://(www\.)?|/.*"", """")"),"legifiscal.fr")</f>
        <v>legifiscal.fr</v>
      </c>
      <c r="C387" s="1" t="s">
        <v>8</v>
      </c>
      <c r="D387" s="1">
        <v>2.0</v>
      </c>
      <c r="E387" s="1" t="s">
        <v>66</v>
      </c>
      <c r="F387" s="1" t="s">
        <v>10</v>
      </c>
      <c r="G387" s="5" t="str">
        <f t="array" ref="G387">XLOOKUP(B387,LFinder!A:A,LFinder!B:B,"absent des plateformes")</f>
        <v>absent des plateformes</v>
      </c>
    </row>
    <row r="388">
      <c r="A388" s="3" t="s">
        <v>505</v>
      </c>
      <c r="B388" s="4" t="str">
        <f>IFERROR(__xludf.DUMMYFUNCTION("REGEXREPLACE(A388, ""^https?://(www\.)?|/.*"", """")"),"eor.fr")</f>
        <v>eor.fr</v>
      </c>
      <c r="C388" s="1" t="s">
        <v>8</v>
      </c>
      <c r="D388" s="1">
        <v>2.0</v>
      </c>
      <c r="E388" s="1" t="s">
        <v>416</v>
      </c>
      <c r="F388" s="1" t="s">
        <v>10</v>
      </c>
      <c r="G388" s="5" t="str">
        <f t="array" ref="G388">XLOOKUP(B388,LFinder!A:A,LFinder!B:B,"absent des plateformes")</f>
        <v>absent des plateformes</v>
      </c>
    </row>
    <row r="389">
      <c r="A389" s="3" t="s">
        <v>506</v>
      </c>
      <c r="B389" s="4" t="str">
        <f>IFERROR(__xludf.DUMMYFUNCTION("REGEXREPLACE(A389, ""^https?://(www\.)?|/.*"", """")"),"eor.fr")</f>
        <v>eor.fr</v>
      </c>
      <c r="C389" s="1" t="s">
        <v>8</v>
      </c>
      <c r="D389" s="1">
        <v>2.0</v>
      </c>
      <c r="E389" s="1" t="s">
        <v>507</v>
      </c>
      <c r="F389" s="1" t="s">
        <v>10</v>
      </c>
      <c r="G389" s="5" t="str">
        <f t="array" ref="G389">XLOOKUP(B389,LFinder!A:A,LFinder!B:B,"absent des plateformes")</f>
        <v>absent des plateformes</v>
      </c>
    </row>
    <row r="390">
      <c r="A390" s="3" t="s">
        <v>508</v>
      </c>
      <c r="B390" s="4" t="str">
        <f>IFERROR(__xludf.DUMMYFUNCTION("REGEXREPLACE(A390, ""^https?://(www\.)?|/.*"", """")"),"pour-les-personnes-agees.gouv.fr")</f>
        <v>pour-les-personnes-agees.gouv.fr</v>
      </c>
      <c r="C390" s="1" t="s">
        <v>8</v>
      </c>
      <c r="D390" s="1">
        <v>2.0</v>
      </c>
      <c r="E390" s="1" t="s">
        <v>507</v>
      </c>
      <c r="F390" s="1" t="s">
        <v>10</v>
      </c>
      <c r="G390" s="5" t="str">
        <f t="array" ref="G390">XLOOKUP(B390,LFinder!A:A,LFinder!B:B,"absent des plateformes")</f>
        <v>absent des plateformes</v>
      </c>
    </row>
    <row r="391">
      <c r="A391" s="3" t="s">
        <v>509</v>
      </c>
      <c r="B391" s="4" t="str">
        <f>IFERROR(__xludf.DUMMYFUNCTION("REGEXREPLACE(A391, ""^https?://(www\.)?|/.*"", """")"),"defiretraite.fr")</f>
        <v>defiretraite.fr</v>
      </c>
      <c r="C391" s="1" t="s">
        <v>8</v>
      </c>
      <c r="D391" s="1">
        <v>2.0</v>
      </c>
      <c r="E391" s="1" t="s">
        <v>507</v>
      </c>
      <c r="F391" s="1" t="s">
        <v>10</v>
      </c>
      <c r="G391" s="5" t="str">
        <f t="array" ref="G391">XLOOKUP(B391,LFinder!A:A,LFinder!B:B,"absent des plateformes")</f>
        <v>absent des plateformes</v>
      </c>
    </row>
    <row r="392">
      <c r="A392" s="3" t="s">
        <v>510</v>
      </c>
      <c r="B392" s="4" t="str">
        <f>IFERROR(__xludf.DUMMYFUNCTION("REGEXREPLACE(A392, ""^https?://(www\.)?|/.*"", """")"),"carsat-alsacemoselle.fr")</f>
        <v>carsat-alsacemoselle.fr</v>
      </c>
      <c r="C392" s="1" t="s">
        <v>8</v>
      </c>
      <c r="D392" s="1">
        <v>2.0</v>
      </c>
      <c r="E392" s="1" t="s">
        <v>507</v>
      </c>
      <c r="F392" s="1" t="s">
        <v>10</v>
      </c>
      <c r="G392" s="5" t="str">
        <f t="array" ref="G392">XLOOKUP(B392,LFinder!A:A,LFinder!B:B,"absent des plateformes")</f>
        <v>absent des plateformes</v>
      </c>
    </row>
    <row r="393">
      <c r="A393" s="3" t="s">
        <v>511</v>
      </c>
      <c r="B393" s="4" t="str">
        <f>IFERROR(__xludf.DUMMYFUNCTION("REGEXREPLACE(A393, ""^https?://(www\.)?|/.*"", """")"),"comptoir-retraite.fr")</f>
        <v>comptoir-retraite.fr</v>
      </c>
      <c r="C393" s="1" t="s">
        <v>8</v>
      </c>
      <c r="D393" s="1">
        <v>2.0</v>
      </c>
      <c r="E393" s="1" t="s">
        <v>364</v>
      </c>
      <c r="F393" s="1" t="s">
        <v>10</v>
      </c>
      <c r="G393" s="5" t="str">
        <f t="array" ref="G393">XLOOKUP(B393,LFinder!A:A,LFinder!B:B,"absent des plateformes")</f>
        <v>absent des plateformes</v>
      </c>
    </row>
    <row r="394">
      <c r="A394" s="3" t="s">
        <v>512</v>
      </c>
      <c r="B394" s="4" t="str">
        <f>IFERROR(__xludf.DUMMYFUNCTION("REGEXREPLACE(A394, ""^https?://(www\.)?|/.*"", """")"),"carsat-pl.fr")</f>
        <v>carsat-pl.fr</v>
      </c>
      <c r="C394" s="1" t="s">
        <v>8</v>
      </c>
      <c r="D394" s="1">
        <v>2.0</v>
      </c>
      <c r="E394" s="1" t="s">
        <v>507</v>
      </c>
      <c r="F394" s="1" t="s">
        <v>10</v>
      </c>
      <c r="G394" s="5" t="str">
        <f t="array" ref="G394">XLOOKUP(B394,LFinder!A:A,LFinder!B:B,"absent des plateformes")</f>
        <v>absent des plateformes</v>
      </c>
    </row>
    <row r="395">
      <c r="A395" s="3" t="s">
        <v>513</v>
      </c>
      <c r="B395" s="4" t="str">
        <f>IFERROR(__xludf.DUMMYFUNCTION("REGEXREPLACE(A395, ""^https?://(www\.)?|/.*"", """")"),"detective-banque.fr")</f>
        <v>detective-banque.fr</v>
      </c>
      <c r="C395" s="1" t="s">
        <v>8</v>
      </c>
      <c r="D395" s="1">
        <v>2.0</v>
      </c>
      <c r="E395" s="1" t="s">
        <v>129</v>
      </c>
      <c r="F395" s="1" t="s">
        <v>54</v>
      </c>
      <c r="G395" s="5" t="str">
        <f t="array" ref="G395">XLOOKUP(B395,LFinder!A:A,LFinder!B:B,"absent des plateformes")</f>
        <v>absent des plateformes</v>
      </c>
    </row>
    <row r="396">
      <c r="A396" s="3" t="s">
        <v>514</v>
      </c>
      <c r="B396" s="4" t="str">
        <f>IFERROR(__xludf.DUMMYFUNCTION("REGEXREPLACE(A396, ""^https?://(www\.)?|/.*"", """")"),"detective-banque.fr")</f>
        <v>detective-banque.fr</v>
      </c>
      <c r="C396" s="1" t="s">
        <v>8</v>
      </c>
      <c r="D396" s="1">
        <v>2.0</v>
      </c>
      <c r="E396" s="1" t="s">
        <v>129</v>
      </c>
      <c r="F396" s="1" t="s">
        <v>54</v>
      </c>
      <c r="G396" s="5" t="str">
        <f t="array" ref="G396">XLOOKUP(B396,LFinder!A:A,LFinder!B:B,"absent des plateformes")</f>
        <v>absent des plateformes</v>
      </c>
    </row>
    <row r="397">
      <c r="A397" s="3" t="s">
        <v>515</v>
      </c>
      <c r="B397" s="4" t="str">
        <f>IFERROR(__xludf.DUMMYFUNCTION("REGEXREPLACE(A397, ""^https?://(www\.)?|/.*"", """")"),"detective-banque.fr")</f>
        <v>detective-banque.fr</v>
      </c>
      <c r="C397" s="1" t="s">
        <v>8</v>
      </c>
      <c r="D397" s="1">
        <v>2.0</v>
      </c>
      <c r="E397" s="1" t="s">
        <v>82</v>
      </c>
      <c r="F397" s="1" t="s">
        <v>54</v>
      </c>
      <c r="G397" s="5" t="str">
        <f t="array" ref="G397">XLOOKUP(B397,LFinder!A:A,LFinder!B:B,"absent des plateformes")</f>
        <v>absent des plateformes</v>
      </c>
    </row>
    <row r="398">
      <c r="A398" s="3" t="s">
        <v>516</v>
      </c>
      <c r="B398" s="4" t="str">
        <f>IFERROR(__xludf.DUMMYFUNCTION("REGEXREPLACE(A398, ""^https?://(www\.)?|/.*"", """")"),"detective-banque.fr")</f>
        <v>detective-banque.fr</v>
      </c>
      <c r="C398" s="1" t="s">
        <v>8</v>
      </c>
      <c r="D398" s="1">
        <v>2.0</v>
      </c>
      <c r="E398" s="1" t="s">
        <v>51</v>
      </c>
      <c r="F398" s="1" t="s">
        <v>54</v>
      </c>
      <c r="G398" s="5" t="str">
        <f t="array" ref="G398">XLOOKUP(B398,LFinder!A:A,LFinder!B:B,"absent des plateformes")</f>
        <v>absent des plateformes</v>
      </c>
    </row>
    <row r="399">
      <c r="A399" s="3" t="s">
        <v>517</v>
      </c>
      <c r="B399" s="4" t="str">
        <f>IFERROR(__xludf.DUMMYFUNCTION("REGEXREPLACE(A399, ""^https?://(www\.)?|/.*"", """")"),"detective-banque.fr")</f>
        <v>detective-banque.fr</v>
      </c>
      <c r="C399" s="1" t="s">
        <v>8</v>
      </c>
      <c r="D399" s="1">
        <v>2.0</v>
      </c>
      <c r="E399" s="1" t="s">
        <v>14</v>
      </c>
      <c r="F399" s="1" t="s">
        <v>54</v>
      </c>
      <c r="G399" s="5" t="str">
        <f t="array" ref="G399">XLOOKUP(B399,LFinder!A:A,LFinder!B:B,"absent des plateformes")</f>
        <v>absent des plateformes</v>
      </c>
    </row>
    <row r="400">
      <c r="A400" s="3" t="s">
        <v>518</v>
      </c>
      <c r="B400" s="4" t="str">
        <f>IFERROR(__xludf.DUMMYFUNCTION("REGEXREPLACE(A400, ""^https?://(www\.)?|/.*"", """")"),"detective-banque.fr")</f>
        <v>detective-banque.fr</v>
      </c>
      <c r="C400" s="1" t="s">
        <v>8</v>
      </c>
      <c r="D400" s="1">
        <v>2.0</v>
      </c>
      <c r="E400" s="1" t="s">
        <v>51</v>
      </c>
      <c r="F400" s="1" t="s">
        <v>54</v>
      </c>
      <c r="G400" s="5" t="str">
        <f t="array" ref="G400">XLOOKUP(B400,LFinder!A:A,LFinder!B:B,"absent des plateformes")</f>
        <v>absent des plateformes</v>
      </c>
    </row>
    <row r="401">
      <c r="A401" s="3" t="s">
        <v>519</v>
      </c>
      <c r="B401" s="4" t="str">
        <f>IFERROR(__xludf.DUMMYFUNCTION("REGEXREPLACE(A401, ""^https?://(www\.)?|/.*"", """")"),"detective-banque.fr")</f>
        <v>detective-banque.fr</v>
      </c>
      <c r="C401" s="1" t="s">
        <v>8</v>
      </c>
      <c r="D401" s="1">
        <v>2.0</v>
      </c>
      <c r="E401" s="1" t="s">
        <v>51</v>
      </c>
      <c r="F401" s="1" t="s">
        <v>54</v>
      </c>
      <c r="G401" s="5" t="str">
        <f t="array" ref="G401">XLOOKUP(B401,LFinder!A:A,LFinder!B:B,"absent des plateformes")</f>
        <v>absent des plateformes</v>
      </c>
    </row>
    <row r="402">
      <c r="A402" s="3" t="s">
        <v>520</v>
      </c>
      <c r="B402" s="4" t="str">
        <f>IFERROR(__xludf.DUMMYFUNCTION("REGEXREPLACE(A402, ""^https?://(www\.)?|/.*"", """")"),"indy.fr")</f>
        <v>indy.fr</v>
      </c>
      <c r="C402" s="1" t="s">
        <v>8</v>
      </c>
      <c r="D402" s="1">
        <v>2.0</v>
      </c>
      <c r="E402" s="1" t="s">
        <v>129</v>
      </c>
      <c r="F402" s="1" t="s">
        <v>10</v>
      </c>
      <c r="G402" s="5" t="str">
        <f t="array" ref="G402">XLOOKUP(B402,LFinder!A:A,LFinder!B:B,"absent des plateformes")</f>
        <v>absent des plateformes</v>
      </c>
    </row>
    <row r="403">
      <c r="A403" s="3" t="s">
        <v>521</v>
      </c>
      <c r="B403" s="4" t="str">
        <f>IFERROR(__xludf.DUMMYFUNCTION("REGEXREPLACE(A403, ""^https?://(www\.)?|/.*"", """")"),"indy.fr")</f>
        <v>indy.fr</v>
      </c>
      <c r="C403" s="1" t="s">
        <v>8</v>
      </c>
      <c r="D403" s="1">
        <v>2.0</v>
      </c>
      <c r="E403" s="1" t="s">
        <v>14</v>
      </c>
      <c r="F403" s="1" t="s">
        <v>10</v>
      </c>
      <c r="G403" s="5" t="str">
        <f t="array" ref="G403">XLOOKUP(B403,LFinder!A:A,LFinder!B:B,"absent des plateformes")</f>
        <v>absent des plateformes</v>
      </c>
    </row>
    <row r="404">
      <c r="A404" s="3" t="s">
        <v>522</v>
      </c>
      <c r="B404" s="4" t="str">
        <f>IFERROR(__xludf.DUMMYFUNCTION("REGEXREPLACE(A404, ""^https?://(www\.)?|/.*"", """")"),"indy.fr")</f>
        <v>indy.fr</v>
      </c>
      <c r="C404" s="1" t="s">
        <v>8</v>
      </c>
      <c r="D404" s="1">
        <v>2.0</v>
      </c>
      <c r="E404" s="1" t="s">
        <v>91</v>
      </c>
      <c r="F404" s="1" t="s">
        <v>10</v>
      </c>
      <c r="G404" s="5" t="str">
        <f t="array" ref="G404">XLOOKUP(B404,LFinder!A:A,LFinder!B:B,"absent des plateformes")</f>
        <v>absent des plateformes</v>
      </c>
    </row>
    <row r="405">
      <c r="A405" s="3" t="s">
        <v>523</v>
      </c>
      <c r="B405" s="4" t="str">
        <f>IFERROR(__xludf.DUMMYFUNCTION("REGEXREPLACE(A405, ""^https?://(www\.)?|/.*"", """")"),"indy.fr")</f>
        <v>indy.fr</v>
      </c>
      <c r="C405" s="1" t="s">
        <v>8</v>
      </c>
      <c r="D405" s="1">
        <v>2.0</v>
      </c>
      <c r="E405" s="1" t="s">
        <v>182</v>
      </c>
      <c r="F405" s="1" t="s">
        <v>10</v>
      </c>
      <c r="G405" s="5" t="str">
        <f t="array" ref="G405">XLOOKUP(B405,LFinder!A:A,LFinder!B:B,"absent des plateformes")</f>
        <v>absent des plateformes</v>
      </c>
    </row>
    <row r="406">
      <c r="A406" s="3" t="s">
        <v>524</v>
      </c>
      <c r="B406" s="4" t="str">
        <f>IFERROR(__xludf.DUMMYFUNCTION("REGEXREPLACE(A406, ""^https?://(www\.)?|/.*"", """")"),"qonto.com")</f>
        <v>qonto.com</v>
      </c>
      <c r="C406" s="1" t="s">
        <v>8</v>
      </c>
      <c r="D406" s="1">
        <v>2.0</v>
      </c>
      <c r="E406" s="1" t="s">
        <v>525</v>
      </c>
      <c r="F406" s="1" t="s">
        <v>10</v>
      </c>
      <c r="G406" s="5" t="str">
        <f t="array" ref="G406">XLOOKUP(B406,LFinder!A:A,LFinder!B:B,"absent des plateformes")</f>
        <v>absent des plateformes</v>
      </c>
    </row>
    <row r="407">
      <c r="A407" s="3" t="s">
        <v>526</v>
      </c>
      <c r="B407" s="4" t="str">
        <f>IFERROR(__xludf.DUMMYFUNCTION("REGEXREPLACE(A407, ""^https?://(www\.)?|/.*"", """")"),"monoutildegestion.fr")</f>
        <v>monoutildegestion.fr</v>
      </c>
      <c r="C407" s="1" t="s">
        <v>8</v>
      </c>
      <c r="D407" s="1">
        <v>2.0</v>
      </c>
      <c r="E407" s="1" t="s">
        <v>12</v>
      </c>
      <c r="F407" s="1" t="s">
        <v>10</v>
      </c>
      <c r="G407" s="5" t="str">
        <f t="array" ref="G407">XLOOKUP(B407,LFinder!A:A,LFinder!B:B,"absent des plateformes")</f>
        <v>absent des plateformes</v>
      </c>
    </row>
    <row r="408">
      <c r="A408" s="3" t="s">
        <v>527</v>
      </c>
      <c r="B408" s="4" t="str">
        <f>IFERROR(__xludf.DUMMYFUNCTION("REGEXREPLACE(A408, ""^https?://(www\.)?|/.*"", """")"),"monoutildegestion.fr")</f>
        <v>monoutildegestion.fr</v>
      </c>
      <c r="C408" s="1" t="s">
        <v>8</v>
      </c>
      <c r="D408" s="1">
        <v>2.0</v>
      </c>
      <c r="E408" s="1" t="s">
        <v>12</v>
      </c>
      <c r="F408" s="1" t="s">
        <v>10</v>
      </c>
      <c r="G408" s="5" t="str">
        <f t="array" ref="G408">XLOOKUP(B408,LFinder!A:A,LFinder!B:B,"absent des plateformes")</f>
        <v>absent des plateformes</v>
      </c>
    </row>
    <row r="409">
      <c r="A409" s="3" t="s">
        <v>528</v>
      </c>
      <c r="B409" s="4" t="str">
        <f>IFERROR(__xludf.DUMMYFUNCTION("REGEXREPLACE(A409, ""^https?://(www\.)?|/.*"", """")"),"monoutildegestion.fr")</f>
        <v>monoutildegestion.fr</v>
      </c>
      <c r="C409" s="1" t="s">
        <v>8</v>
      </c>
      <c r="D409" s="1">
        <v>2.0</v>
      </c>
      <c r="E409" s="1" t="s">
        <v>12</v>
      </c>
      <c r="F409" s="1" t="s">
        <v>10</v>
      </c>
      <c r="G409" s="5" t="str">
        <f t="array" ref="G409">XLOOKUP(B409,LFinder!A:A,LFinder!B:B,"absent des plateformes")</f>
        <v>absent des plateformes</v>
      </c>
    </row>
    <row r="410">
      <c r="A410" s="3" t="s">
        <v>529</v>
      </c>
      <c r="B410" s="4" t="str">
        <f>IFERROR(__xludf.DUMMYFUNCTION("REGEXREPLACE(A410, ""^https?://(www\.)?|/.*"", """")"),"lelabentrepreneur.com")</f>
        <v>lelabentrepreneur.com</v>
      </c>
      <c r="C410" s="1" t="s">
        <v>8</v>
      </c>
      <c r="D410" s="1">
        <v>2.0</v>
      </c>
      <c r="E410" s="1" t="s">
        <v>12</v>
      </c>
      <c r="F410" s="1" t="s">
        <v>10</v>
      </c>
      <c r="G410" s="5" t="str">
        <f t="array" ref="G410">XLOOKUP(B410,LFinder!A:A,LFinder!B:B,"absent des plateformes")</f>
        <v>absent des plateformes</v>
      </c>
    </row>
    <row r="411">
      <c r="A411" s="3" t="s">
        <v>530</v>
      </c>
      <c r="B411" s="4" t="str">
        <f>IFERROR(__xludf.DUMMYFUNCTION("REGEXREPLACE(A411, ""^https?://(www\.)?|/.*"", """")"),"comparabanques.fr")</f>
        <v>comparabanques.fr</v>
      </c>
      <c r="C411" s="1" t="s">
        <v>8</v>
      </c>
      <c r="D411" s="1">
        <v>2.0</v>
      </c>
      <c r="E411" s="1" t="s">
        <v>129</v>
      </c>
      <c r="F411" s="1" t="s">
        <v>10</v>
      </c>
      <c r="G411" s="5" t="str">
        <f t="array" ref="G411">XLOOKUP(B411,LFinder!A:A,LFinder!B:B,"absent des plateformes")</f>
        <v>absent des plateformes</v>
      </c>
    </row>
    <row r="412">
      <c r="A412" s="3" t="s">
        <v>531</v>
      </c>
      <c r="B412" s="4" t="str">
        <f>IFERROR(__xludf.DUMMYFUNCTION("REGEXREPLACE(A412, ""^https?://(www\.)?|/.*"", """")"),"comparabanques.fr")</f>
        <v>comparabanques.fr</v>
      </c>
      <c r="C412" s="1" t="s">
        <v>8</v>
      </c>
      <c r="D412" s="1">
        <v>2.0</v>
      </c>
      <c r="E412" s="1" t="s">
        <v>14</v>
      </c>
      <c r="F412" s="1" t="s">
        <v>10</v>
      </c>
      <c r="G412" s="5" t="str">
        <f t="array" ref="G412">XLOOKUP(B412,LFinder!A:A,LFinder!B:B,"absent des plateformes")</f>
        <v>absent des plateformes</v>
      </c>
    </row>
    <row r="413">
      <c r="A413" s="3" t="s">
        <v>532</v>
      </c>
      <c r="B413" s="4" t="str">
        <f>IFERROR(__xludf.DUMMYFUNCTION("REGEXREPLACE(A413, ""^https?://(www\.)?|/.*"", """")"),"fr.wikipedia.org")</f>
        <v>fr.wikipedia.org</v>
      </c>
      <c r="C413" s="1" t="s">
        <v>8</v>
      </c>
      <c r="D413" s="1">
        <v>2.0</v>
      </c>
      <c r="E413" s="1" t="s">
        <v>533</v>
      </c>
      <c r="F413" s="1" t="s">
        <v>10</v>
      </c>
      <c r="G413" s="5" t="str">
        <f t="array" ref="G413">XLOOKUP(B413,LFinder!A:A,LFinder!B:B,"absent des plateformes")</f>
        <v>absent des plateformes</v>
      </c>
    </row>
    <row r="414">
      <c r="A414" s="3" t="s">
        <v>534</v>
      </c>
      <c r="B414" s="4" t="str">
        <f>IFERROR(__xludf.DUMMYFUNCTION("REGEXREPLACE(A414, ""^https?://(www\.)?|/.*"", """")"),"fr.wikipedia.org")</f>
        <v>fr.wikipedia.org</v>
      </c>
      <c r="C414" s="1" t="s">
        <v>8</v>
      </c>
      <c r="D414" s="1">
        <v>2.0</v>
      </c>
      <c r="E414" s="1" t="s">
        <v>535</v>
      </c>
      <c r="F414" s="1" t="s">
        <v>10</v>
      </c>
      <c r="G414" s="5" t="str">
        <f t="array" ref="G414">XLOOKUP(B414,LFinder!A:A,LFinder!B:B,"absent des plateformes")</f>
        <v>absent des plateformes</v>
      </c>
    </row>
    <row r="415">
      <c r="A415" s="3" t="s">
        <v>536</v>
      </c>
      <c r="B415" s="4" t="str">
        <f>IFERROR(__xludf.DUMMYFUNCTION("REGEXREPLACE(A415, ""^https?://(www\.)?|/.*"", """")"),"facture-electronique-obligatoire.fr")</f>
        <v>facture-electronique-obligatoire.fr</v>
      </c>
      <c r="C415" s="1" t="s">
        <v>8</v>
      </c>
      <c r="D415" s="1">
        <v>2.0</v>
      </c>
      <c r="E415" s="1" t="s">
        <v>91</v>
      </c>
      <c r="F415" s="1" t="s">
        <v>10</v>
      </c>
      <c r="G415" s="5" t="str">
        <f t="array" ref="G415">XLOOKUP(B415,LFinder!A:A,LFinder!B:B,"absent des plateformes")</f>
        <v>absent des plateformes</v>
      </c>
    </row>
    <row r="416">
      <c r="A416" s="3" t="s">
        <v>537</v>
      </c>
      <c r="B416" s="4" t="str">
        <f>IFERROR(__xludf.DUMMYFUNCTION("REGEXREPLACE(A416, ""^https?://(www\.)?|/.*"", """")"),"facture-electronique-obligatoire.fr")</f>
        <v>facture-electronique-obligatoire.fr</v>
      </c>
      <c r="C416" s="1" t="s">
        <v>8</v>
      </c>
      <c r="D416" s="1">
        <v>2.0</v>
      </c>
      <c r="E416" s="1" t="s">
        <v>98</v>
      </c>
      <c r="F416" s="1" t="s">
        <v>10</v>
      </c>
      <c r="G416" s="5" t="str">
        <f t="array" ref="G416">XLOOKUP(B416,LFinder!A:A,LFinder!B:B,"absent des plateformes")</f>
        <v>absent des plateformes</v>
      </c>
    </row>
    <row r="417">
      <c r="A417" s="3" t="s">
        <v>538</v>
      </c>
      <c r="B417" s="4" t="str">
        <f>IFERROR(__xludf.DUMMYFUNCTION("REGEXREPLACE(A417, ""^https?://(www\.)?|/.*"", """")"),"facture-electronique-obligatoire.fr")</f>
        <v>facture-electronique-obligatoire.fr</v>
      </c>
      <c r="C417" s="1" t="s">
        <v>8</v>
      </c>
      <c r="D417" s="1">
        <v>2.0</v>
      </c>
      <c r="E417" s="1" t="s">
        <v>539</v>
      </c>
      <c r="F417" s="1" t="s">
        <v>10</v>
      </c>
      <c r="G417" s="5" t="str">
        <f t="array" ref="G417">XLOOKUP(B417,LFinder!A:A,LFinder!B:B,"absent des plateformes")</f>
        <v>absent des plateformes</v>
      </c>
    </row>
    <row r="418">
      <c r="A418" s="3" t="s">
        <v>540</v>
      </c>
      <c r="B418" s="4" t="str">
        <f>IFERROR(__xludf.DUMMYFUNCTION("REGEXREPLACE(A418, ""^https?://(www\.)?|/.*"", """")"),"avalara.com")</f>
        <v>avalara.com</v>
      </c>
      <c r="C418" s="1" t="s">
        <v>8</v>
      </c>
      <c r="D418" s="1">
        <v>2.0</v>
      </c>
      <c r="E418" s="1" t="s">
        <v>66</v>
      </c>
      <c r="F418" s="1" t="s">
        <v>10</v>
      </c>
      <c r="G418" s="5" t="str">
        <f t="array" ref="G418">XLOOKUP(B418,LFinder!A:A,LFinder!B:B,"absent des plateformes")</f>
        <v>absent des plateformes</v>
      </c>
    </row>
    <row r="419">
      <c r="A419" s="3" t="s">
        <v>541</v>
      </c>
      <c r="B419" s="4" t="str">
        <f>IFERROR(__xludf.DUMMYFUNCTION("REGEXREPLACE(A419, ""^https?://(www\.)?|/.*"", """")"),"impots.gouv.fr")</f>
        <v>impots.gouv.fr</v>
      </c>
      <c r="C419" s="1" t="s">
        <v>8</v>
      </c>
      <c r="D419" s="1">
        <v>2.0</v>
      </c>
      <c r="E419" s="1" t="s">
        <v>66</v>
      </c>
      <c r="F419" s="1" t="s">
        <v>10</v>
      </c>
      <c r="G419" s="5" t="str">
        <f t="array" ref="G419">XLOOKUP(B419,LFinder!A:A,LFinder!B:B,"absent des plateformes")</f>
        <v>absent des plateformes</v>
      </c>
    </row>
    <row r="420">
      <c r="A420" s="3" t="s">
        <v>542</v>
      </c>
      <c r="B420" s="4" t="str">
        <f>IFERROR(__xludf.DUMMYFUNCTION("REGEXREPLACE(A420, ""^https?://(www\.)?|/.*"", """")"),"bizneo.com")</f>
        <v>bizneo.com</v>
      </c>
      <c r="C420" s="1" t="s">
        <v>8</v>
      </c>
      <c r="D420" s="1">
        <v>1.0</v>
      </c>
      <c r="E420" s="1" t="s">
        <v>31</v>
      </c>
      <c r="F420" s="1" t="s">
        <v>10</v>
      </c>
      <c r="G420" s="5" t="str">
        <f t="array" ref="G420">XLOOKUP(B420,LFinder!A:A,LFinder!B:B,"absent des plateformes")</f>
        <v>absent des plateformes</v>
      </c>
    </row>
    <row r="421">
      <c r="A421" s="3" t="s">
        <v>543</v>
      </c>
      <c r="B421" s="4" t="str">
        <f>IFERROR(__xludf.DUMMYFUNCTION("REGEXREPLACE(A421, ""^https?://(www\.)?|/.*"", """")"),"fortify.fr")</f>
        <v>fortify.fr</v>
      </c>
      <c r="C421" s="1" t="s">
        <v>8</v>
      </c>
      <c r="D421" s="1">
        <v>1.0</v>
      </c>
      <c r="E421" s="1" t="s">
        <v>31</v>
      </c>
      <c r="F421" s="1" t="s">
        <v>10</v>
      </c>
      <c r="G421" s="5" t="str">
        <f t="array" ref="G421">XLOOKUP(B421,LFinder!A:A,LFinder!B:B,"absent des plateformes")</f>
        <v>absent des plateformes</v>
      </c>
    </row>
    <row r="422">
      <c r="A422" s="3" t="s">
        <v>544</v>
      </c>
      <c r="B422" s="4" t="str">
        <f>IFERROR(__xludf.DUMMYFUNCTION("REGEXREPLACE(A422, ""^https?://(www\.)?|/.*"", """")"),"fiche-de-paie.fr")</f>
        <v>fiche-de-paie.fr</v>
      </c>
      <c r="C422" s="1" t="s">
        <v>8</v>
      </c>
      <c r="D422" s="1">
        <v>1.0</v>
      </c>
      <c r="E422" s="1" t="s">
        <v>31</v>
      </c>
      <c r="F422" s="1" t="s">
        <v>10</v>
      </c>
      <c r="G422" s="5" t="str">
        <f t="array" ref="G422">XLOOKUP(B422,LFinder!A:A,LFinder!B:B,"absent des plateformes")</f>
        <v>absent des plateformes</v>
      </c>
    </row>
    <row r="423">
      <c r="A423" s="3" t="s">
        <v>545</v>
      </c>
      <c r="B423" s="4" t="str">
        <f>IFERROR(__xludf.DUMMYFUNCTION("REGEXREPLACE(A423, ""^https?://(www\.)?|/.*"", """")"),"fiche-de-paie.fr")</f>
        <v>fiche-de-paie.fr</v>
      </c>
      <c r="C423" s="1" t="s">
        <v>8</v>
      </c>
      <c r="D423" s="1">
        <v>1.0</v>
      </c>
      <c r="E423" s="1" t="s">
        <v>31</v>
      </c>
      <c r="F423" s="1" t="s">
        <v>10</v>
      </c>
      <c r="G423" s="5" t="str">
        <f t="array" ref="G423">XLOOKUP(B423,LFinder!A:A,LFinder!B:B,"absent des plateformes")</f>
        <v>absent des plateformes</v>
      </c>
    </row>
    <row r="424">
      <c r="A424" s="3" t="s">
        <v>546</v>
      </c>
      <c r="B424" s="4" t="str">
        <f>IFERROR(__xludf.DUMMYFUNCTION("REGEXREPLACE(A424, ""^https?://(www\.)?|/.*"", """")"),"certeurope.fr")</f>
        <v>certeurope.fr</v>
      </c>
      <c r="C424" s="1" t="s">
        <v>8</v>
      </c>
      <c r="D424" s="1">
        <v>1.0</v>
      </c>
      <c r="E424" s="1" t="s">
        <v>66</v>
      </c>
      <c r="F424" s="1" t="s">
        <v>10</v>
      </c>
      <c r="G424" s="5" t="str">
        <f t="array" ref="G424">XLOOKUP(B424,LFinder!A:A,LFinder!B:B,"absent des plateformes")</f>
        <v>absent des plateformes</v>
      </c>
    </row>
    <row r="425">
      <c r="A425" s="3" t="s">
        <v>547</v>
      </c>
      <c r="B425" s="4" t="str">
        <f>IFERROR(__xludf.DUMMYFUNCTION("REGEXREPLACE(A425, ""^https?://(www\.)?|/.*"", """")"),"parinet.fr")</f>
        <v>parinet.fr</v>
      </c>
      <c r="C425" s="1" t="s">
        <v>8</v>
      </c>
      <c r="D425" s="1">
        <v>1.0</v>
      </c>
      <c r="E425" s="1" t="s">
        <v>66</v>
      </c>
      <c r="F425" s="1" t="s">
        <v>10</v>
      </c>
      <c r="G425" s="5" t="str">
        <f t="array" ref="G425">XLOOKUP(B425,LFinder!A:A,LFinder!B:B,"absent des plateformes")</f>
        <v>absent des plateformes</v>
      </c>
    </row>
    <row r="426">
      <c r="A426" s="3" t="s">
        <v>548</v>
      </c>
      <c r="B426" s="4" t="str">
        <f>IFERROR(__xludf.DUMMYFUNCTION("REGEXREPLACE(A426, ""^https?://(www\.)?|/.*"", """")"),"axess.fr")</f>
        <v>axess.fr</v>
      </c>
      <c r="C426" s="1" t="s">
        <v>8</v>
      </c>
      <c r="D426" s="1">
        <v>1.0</v>
      </c>
      <c r="E426" s="1" t="s">
        <v>66</v>
      </c>
      <c r="F426" s="1" t="s">
        <v>10</v>
      </c>
      <c r="G426" s="5" t="str">
        <f t="array" ref="G426">XLOOKUP(B426,LFinder!A:A,LFinder!B:B,"absent des plateformes")</f>
        <v>absent des plateformes</v>
      </c>
    </row>
    <row r="427">
      <c r="A427" s="3" t="s">
        <v>549</v>
      </c>
      <c r="B427" s="4" t="str">
        <f>IFERROR(__xludf.DUMMYFUNCTION("REGEXREPLACE(A427, ""^https?://(www\.)?|/.*"", """")"),"logiciel-facturation.fr")</f>
        <v>logiciel-facturation.fr</v>
      </c>
      <c r="C427" s="1" t="s">
        <v>8</v>
      </c>
      <c r="D427" s="1">
        <v>1.0</v>
      </c>
      <c r="E427" s="1" t="s">
        <v>91</v>
      </c>
      <c r="F427" s="1" t="s">
        <v>10</v>
      </c>
      <c r="G427" s="5" t="str">
        <f t="array" ref="G427">XLOOKUP(B427,LFinder!A:A,LFinder!B:B,"absent des plateformes")</f>
        <v>absent des plateformes</v>
      </c>
    </row>
    <row r="428">
      <c r="A428" s="3" t="s">
        <v>550</v>
      </c>
      <c r="B428" s="4" t="str">
        <f>IFERROR(__xludf.DUMMYFUNCTION("REGEXREPLACE(A428, ""^https?://(www\.)?|/.*"", """")"),"mdretraite.com")</f>
        <v>mdretraite.com</v>
      </c>
      <c r="C428" s="1" t="s">
        <v>8</v>
      </c>
      <c r="D428" s="1">
        <v>1.0</v>
      </c>
      <c r="E428" s="1" t="s">
        <v>507</v>
      </c>
      <c r="F428" s="1" t="s">
        <v>10</v>
      </c>
      <c r="G428" s="5" t="str">
        <f t="array" ref="G428">XLOOKUP(B428,LFinder!A:A,LFinder!B:B,"absent des plateformes")</f>
        <v>absent des plateformes</v>
      </c>
    </row>
    <row r="429">
      <c r="A429" s="3" t="s">
        <v>551</v>
      </c>
      <c r="B429" s="4" t="str">
        <f>IFERROR(__xludf.DUMMYFUNCTION("REGEXREPLACE(A429, ""^https?://(www\.)?|/.*"", """")"),"mastrategieretraite.fr")</f>
        <v>mastrategieretraite.fr</v>
      </c>
      <c r="C429" s="1" t="s">
        <v>8</v>
      </c>
      <c r="D429" s="1">
        <v>1.0</v>
      </c>
      <c r="E429" s="1" t="s">
        <v>507</v>
      </c>
      <c r="F429" s="1" t="s">
        <v>10</v>
      </c>
      <c r="G429" s="5" t="str">
        <f t="array" ref="G429">XLOOKUP(B429,LFinder!A:A,LFinder!B:B,"absent des plateformes")</f>
        <v>absent des plateformes</v>
      </c>
    </row>
    <row r="430">
      <c r="A430" s="3" t="s">
        <v>552</v>
      </c>
      <c r="B430" s="4" t="str">
        <f>IFERROR(__xludf.DUMMYFUNCTION("REGEXREPLACE(A430, ""^https?://(www\.)?|/.*"", """")"),"oceaconcept.fr")</f>
        <v>oceaconcept.fr</v>
      </c>
      <c r="C430" s="1" t="s">
        <v>8</v>
      </c>
      <c r="D430" s="1">
        <v>1.0</v>
      </c>
      <c r="E430" s="1" t="s">
        <v>200</v>
      </c>
      <c r="F430" s="1" t="s">
        <v>10</v>
      </c>
      <c r="G430" s="5" t="str">
        <f t="array" ref="G430">XLOOKUP(B430,LFinder!A:A,LFinder!B:B,"absent des plateformes")</f>
        <v>absent des plateformes</v>
      </c>
    </row>
    <row r="431">
      <c r="A431" s="3" t="s">
        <v>553</v>
      </c>
      <c r="B431" s="4" t="str">
        <f>IFERROR(__xludf.DUMMYFUNCTION("REGEXREPLACE(A431, ""^https?://(www\.)?|/.*"", """")"),"meilleurbanquepro.fr")</f>
        <v>meilleurbanquepro.fr</v>
      </c>
      <c r="C431" s="1" t="s">
        <v>8</v>
      </c>
      <c r="D431" s="1">
        <v>1.0</v>
      </c>
      <c r="E431" s="1" t="s">
        <v>174</v>
      </c>
      <c r="F431" s="1" t="s">
        <v>10</v>
      </c>
      <c r="G431" s="5" t="str">
        <f t="array" ref="G431">XLOOKUP(B431,LFinder!A:A,LFinder!B:B,"absent des plateformes")</f>
        <v>absent des plateformes</v>
      </c>
    </row>
    <row r="432">
      <c r="A432" s="3" t="s">
        <v>554</v>
      </c>
      <c r="B432" s="4" t="str">
        <f>IFERROR(__xludf.DUMMYFUNCTION("REGEXREPLACE(A432, ""^https?://(www\.)?|/.*"", """")"),"april.fr")</f>
        <v>april.fr</v>
      </c>
      <c r="C432" s="1" t="s">
        <v>8</v>
      </c>
      <c r="D432" s="1">
        <v>1.0</v>
      </c>
      <c r="E432" s="1" t="s">
        <v>129</v>
      </c>
      <c r="F432" s="1" t="s">
        <v>10</v>
      </c>
      <c r="G432" s="5" t="str">
        <f t="array" ref="G432">XLOOKUP(B432,LFinder!A:A,LFinder!B:B,"absent des plateformes")</f>
        <v>absent des plateformes</v>
      </c>
    </row>
    <row r="433">
      <c r="A433" s="3" t="s">
        <v>555</v>
      </c>
      <c r="B433" s="4" t="str">
        <f>IFERROR(__xludf.DUMMYFUNCTION("REGEXREPLACE(A433, ""^https?://(www\.)?|/.*"", """")"),"jechange.fr")</f>
        <v>jechange.fr</v>
      </c>
      <c r="C433" s="1" t="s">
        <v>8</v>
      </c>
      <c r="D433" s="1">
        <v>1.0</v>
      </c>
      <c r="E433" s="1" t="s">
        <v>129</v>
      </c>
      <c r="F433" s="1" t="s">
        <v>10</v>
      </c>
      <c r="G433" s="5" t="str">
        <f t="array" ref="G433">XLOOKUP(B433,LFinder!A:A,LFinder!B:B,"absent des plateformes")</f>
        <v>absent des plateformes</v>
      </c>
    </row>
    <row r="434">
      <c r="A434" s="3" t="s">
        <v>556</v>
      </c>
      <c r="B434" s="4" t="str">
        <f>IFERROR(__xludf.DUMMYFUNCTION("REGEXREPLACE(A434, ""^https?://(www\.)?|/.*"", """")"),"factureelectronique.org")</f>
        <v>factureelectronique.org</v>
      </c>
      <c r="C434" s="1" t="s">
        <v>8</v>
      </c>
      <c r="D434" s="1">
        <v>1.0</v>
      </c>
      <c r="E434" s="1" t="s">
        <v>325</v>
      </c>
      <c r="F434" s="1" t="s">
        <v>10</v>
      </c>
      <c r="G434" s="5" t="str">
        <f t="array" ref="G434">XLOOKUP(B434,LFinder!A:A,LFinder!B:B,"absent des plateformes")</f>
        <v>absent des plateformes</v>
      </c>
    </row>
    <row r="435">
      <c r="A435" s="3" t="s">
        <v>557</v>
      </c>
      <c r="B435" s="4" t="str">
        <f>IFERROR(__xludf.DUMMYFUNCTION("REGEXREPLACE(A435, ""^https?://(www\.)?|/.*"", """")"),"hayot-expertise.fr")</f>
        <v>hayot-expertise.fr</v>
      </c>
      <c r="C435" s="1" t="s">
        <v>8</v>
      </c>
      <c r="D435" s="1">
        <v>1.0</v>
      </c>
      <c r="E435" s="1" t="s">
        <v>325</v>
      </c>
      <c r="F435" s="1" t="s">
        <v>10</v>
      </c>
      <c r="G435" s="5" t="str">
        <f t="array" ref="G435">XLOOKUP(B435,LFinder!A:A,LFinder!B:B,"absent des plateformes")</f>
        <v>absent des plateformes</v>
      </c>
    </row>
    <row r="436">
      <c r="A436" s="3" t="s">
        <v>558</v>
      </c>
      <c r="B436" s="4" t="str">
        <f>IFERROR(__xludf.DUMMYFUNCTION("REGEXREPLACE(A436, ""^https?://(www\.)?|/.*"", """")"),"hayot-expertise.fr")</f>
        <v>hayot-expertise.fr</v>
      </c>
      <c r="C436" s="1" t="s">
        <v>8</v>
      </c>
      <c r="D436" s="1">
        <v>1.0</v>
      </c>
      <c r="E436" s="1" t="s">
        <v>325</v>
      </c>
      <c r="F436" s="1" t="s">
        <v>10</v>
      </c>
      <c r="G436" s="5" t="str">
        <f t="array" ref="G436">XLOOKUP(B436,LFinder!A:A,LFinder!B:B,"absent des plateformes")</f>
        <v>absent des plateformes</v>
      </c>
    </row>
    <row r="437">
      <c r="A437" s="3" t="s">
        <v>559</v>
      </c>
      <c r="B437" s="4" t="str">
        <f>IFERROR(__xludf.DUMMYFUNCTION("REGEXREPLACE(A437, ""^https?://(www\.)?|/.*"", """")"),"entreprise.mma.fr")</f>
        <v>entreprise.mma.fr</v>
      </c>
      <c r="C437" s="1" t="s">
        <v>8</v>
      </c>
      <c r="D437" s="1">
        <v>1.0</v>
      </c>
      <c r="E437" s="1" t="s">
        <v>325</v>
      </c>
      <c r="F437" s="1" t="s">
        <v>10</v>
      </c>
      <c r="G437" s="5" t="str">
        <f t="array" ref="G437">XLOOKUP(B437,LFinder!A:A,LFinder!B:B,"absent des plateformes")</f>
        <v>absent des plateformes</v>
      </c>
    </row>
    <row r="438">
      <c r="A438" s="3" t="s">
        <v>560</v>
      </c>
      <c r="B438" s="4" t="str">
        <f>IFERROR(__xludf.DUMMYFUNCTION("REGEXREPLACE(A438, ""^https?://(www\.)?|/.*"", """")"),"spendesk.com")</f>
        <v>spendesk.com</v>
      </c>
      <c r="C438" s="1" t="s">
        <v>8</v>
      </c>
      <c r="D438" s="1">
        <v>1.0</v>
      </c>
      <c r="E438" s="1" t="s">
        <v>12</v>
      </c>
      <c r="F438" s="1" t="s">
        <v>10</v>
      </c>
      <c r="G438" s="5" t="str">
        <f t="array" ref="G438">XLOOKUP(B438,LFinder!A:A,LFinder!B:B,"absent des plateformes")</f>
        <v>absent des plateformes</v>
      </c>
    </row>
    <row r="439">
      <c r="A439" s="3" t="s">
        <v>561</v>
      </c>
      <c r="B439" s="4" t="str">
        <f>IFERROR(__xludf.DUMMYFUNCTION("REGEXREPLACE(A439, ""^https?://(www\.)?|/.*"", """")"),"cohenexpertscomptables.fr")</f>
        <v>cohenexpertscomptables.fr</v>
      </c>
      <c r="C439" s="1" t="s">
        <v>8</v>
      </c>
      <c r="D439" s="1">
        <v>1.0</v>
      </c>
      <c r="E439" s="1" t="s">
        <v>71</v>
      </c>
      <c r="F439" s="1" t="s">
        <v>10</v>
      </c>
      <c r="G439" s="5" t="str">
        <f t="array" ref="G439">XLOOKUP(B439,LFinder!A:A,LFinder!B:B,"absent des plateformes")</f>
        <v>absent des plateformes</v>
      </c>
    </row>
    <row r="440">
      <c r="A440" s="3" t="s">
        <v>562</v>
      </c>
      <c r="B440" s="4" t="str">
        <f>IFERROR(__xludf.DUMMYFUNCTION("REGEXREPLACE(A440, ""^https?://(www\.)?|/.*"", """")"),"nicephor-finance.fr")</f>
        <v>nicephor-finance.fr</v>
      </c>
      <c r="C440" s="1" t="s">
        <v>8</v>
      </c>
      <c r="D440" s="1">
        <v>1.0</v>
      </c>
      <c r="E440" s="1" t="s">
        <v>71</v>
      </c>
      <c r="F440" s="1" t="s">
        <v>10</v>
      </c>
      <c r="G440" s="5" t="str">
        <f t="array" ref="G440">XLOOKUP(B440,LFinder!A:A,LFinder!B:B,"absent des plateformes")</f>
        <v>absent des plateformes</v>
      </c>
    </row>
    <row r="441">
      <c r="A441" s="3" t="s">
        <v>563</v>
      </c>
      <c r="B441" s="4" t="str">
        <f>IFERROR(__xludf.DUMMYFUNCTION("REGEXREPLACE(A441, ""^https?://(www\.)?|/.*"", """")"),"neos-retraite.fr")</f>
        <v>neos-retraite.fr</v>
      </c>
      <c r="C441" s="1" t="s">
        <v>8</v>
      </c>
      <c r="D441" s="1">
        <v>1.0</v>
      </c>
      <c r="E441" s="1" t="s">
        <v>71</v>
      </c>
      <c r="F441" s="1" t="s">
        <v>10</v>
      </c>
      <c r="G441" s="5" t="str">
        <f t="array" ref="G441">XLOOKUP(B441,LFinder!A:A,LFinder!B:B,"absent des plateformes")</f>
        <v>absent des plateformes</v>
      </c>
    </row>
    <row r="442">
      <c r="A442" s="3" t="s">
        <v>564</v>
      </c>
      <c r="B442" s="4" t="str">
        <f>IFERROR(__xludf.DUMMYFUNCTION("REGEXREPLACE(A442, ""^https?://(www\.)?|/.*"", """")"),"astuceretraite.fr")</f>
        <v>astuceretraite.fr</v>
      </c>
      <c r="C442" s="1" t="s">
        <v>8</v>
      </c>
      <c r="D442" s="1">
        <v>1.0</v>
      </c>
      <c r="E442" s="1" t="s">
        <v>71</v>
      </c>
      <c r="F442" s="1" t="s">
        <v>10</v>
      </c>
      <c r="G442" s="5" t="str">
        <f t="array" ref="G442">XLOOKUP(B442,LFinder!A:A,LFinder!B:B,"absent des plateformes")</f>
        <v>absent des plateformes</v>
      </c>
    </row>
    <row r="443">
      <c r="A443" s="3" t="s">
        <v>565</v>
      </c>
      <c r="B443" s="4" t="str">
        <f>IFERROR(__xludf.DUMMYFUNCTION("REGEXREPLACE(A443, ""^https?://(www\.)?|/.*"", """")"),"pedagogie-retraite.fr")</f>
        <v>pedagogie-retraite.fr</v>
      </c>
      <c r="C443" s="1" t="s">
        <v>8</v>
      </c>
      <c r="D443" s="1">
        <v>1.0</v>
      </c>
      <c r="E443" s="1" t="s">
        <v>71</v>
      </c>
      <c r="F443" s="1" t="s">
        <v>10</v>
      </c>
      <c r="G443" s="5" t="str">
        <f t="array" ref="G443">XLOOKUP(B443,LFinder!A:A,LFinder!B:B,"absent des plateformes")</f>
        <v>absent des plateformes</v>
      </c>
    </row>
    <row r="444">
      <c r="A444" s="3" t="s">
        <v>566</v>
      </c>
      <c r="B444" s="4" t="str">
        <f>IFERROR(__xludf.DUMMYFUNCTION("REGEXREPLACE(A444, ""^https?://(www\.)?|/.*"", """")"),"expert-invest.fr")</f>
        <v>expert-invest.fr</v>
      </c>
      <c r="C444" s="1" t="s">
        <v>8</v>
      </c>
      <c r="D444" s="1">
        <v>1.0</v>
      </c>
      <c r="E444" s="1" t="s">
        <v>71</v>
      </c>
      <c r="F444" s="1" t="s">
        <v>10</v>
      </c>
      <c r="G444" s="5" t="str">
        <f t="array" ref="G444">XLOOKUP(B444,LFinder!A:A,LFinder!B:B,"absent des plateformes")</f>
        <v>absent des plateformes</v>
      </c>
    </row>
    <row r="445">
      <c r="A445" s="3" t="s">
        <v>567</v>
      </c>
      <c r="B445" s="4" t="str">
        <f>IFERROR(__xludf.DUMMYFUNCTION("REGEXREPLACE(A445, ""^https?://(www\.)?|/.*"", """")"),"leguichetpro.com")</f>
        <v>leguichetpro.com</v>
      </c>
      <c r="C445" s="1" t="s">
        <v>8</v>
      </c>
      <c r="D445" s="1">
        <v>1.0</v>
      </c>
      <c r="E445" s="1" t="s">
        <v>47</v>
      </c>
      <c r="F445" s="1" t="s">
        <v>10</v>
      </c>
      <c r="G445" s="5" t="str">
        <f t="array" ref="G445">XLOOKUP(B445,LFinder!A:A,LFinder!B:B,"absent des plateformes")</f>
        <v>absent des plateformes</v>
      </c>
    </row>
    <row r="446">
      <c r="A446" s="3" t="s">
        <v>568</v>
      </c>
      <c r="B446" s="4" t="str">
        <f>IFERROR(__xludf.DUMMYFUNCTION("REGEXREPLACE(A446, ""^https?://(www\.)?|/.*"", """")"),"legalnest.fr")</f>
        <v>legalnest.fr</v>
      </c>
      <c r="C446" s="1" t="s">
        <v>8</v>
      </c>
      <c r="D446" s="1">
        <v>1.0</v>
      </c>
      <c r="E446" s="1" t="s">
        <v>47</v>
      </c>
      <c r="F446" s="1" t="s">
        <v>10</v>
      </c>
      <c r="G446" s="5" t="str">
        <f t="array" ref="G446">XLOOKUP(B446,LFinder!A:A,LFinder!B:B,"absent des plateformes")</f>
        <v>absent des plateformes</v>
      </c>
    </row>
    <row r="447">
      <c r="A447" s="3" t="s">
        <v>569</v>
      </c>
      <c r="B447" s="4" t="str">
        <f>IFERROR(__xludf.DUMMYFUNCTION("REGEXREPLACE(A447, ""^https?://(www\.)?|/.*"", """")"),"devis-compta.fr")</f>
        <v>devis-compta.fr</v>
      </c>
      <c r="C447" s="1" t="s">
        <v>8</v>
      </c>
      <c r="D447" s="1">
        <v>1.0</v>
      </c>
      <c r="E447" s="1" t="s">
        <v>47</v>
      </c>
      <c r="F447" s="1" t="s">
        <v>10</v>
      </c>
      <c r="G447" s="5" t="str">
        <f t="array" ref="G447">XLOOKUP(B447,LFinder!A:A,LFinder!B:B,"absent des plateformes")</f>
        <v>absent des plateformes</v>
      </c>
    </row>
    <row r="448">
      <c r="A448" s="3" t="s">
        <v>570</v>
      </c>
      <c r="B448" s="4" t="str">
        <f>IFERROR(__xludf.DUMMYFUNCTION("REGEXREPLACE(A448, ""^https?://(www\.)?|/.*"", """")"),"cristalis.com")</f>
        <v>cristalis.com</v>
      </c>
      <c r="C448" s="1" t="s">
        <v>8</v>
      </c>
      <c r="D448" s="1">
        <v>1.0</v>
      </c>
      <c r="E448" s="1" t="s">
        <v>323</v>
      </c>
      <c r="F448" s="1" t="s">
        <v>10</v>
      </c>
      <c r="G448" s="5" t="str">
        <f t="array" ref="G448">XLOOKUP(B448,LFinder!A:A,LFinder!B:B,"absent des plateformes")</f>
        <v>absent des plateformes</v>
      </c>
    </row>
    <row r="449">
      <c r="A449" s="3" t="s">
        <v>571</v>
      </c>
      <c r="B449" s="4" t="str">
        <f>IFERROR(__xludf.DUMMYFUNCTION("REGEXREPLACE(A449, ""^https?://(www\.)?|/.*"", """")"),"cerfrance.fr")</f>
        <v>cerfrance.fr</v>
      </c>
      <c r="C449" s="1" t="s">
        <v>8</v>
      </c>
      <c r="D449" s="1">
        <v>1.0</v>
      </c>
      <c r="E449" s="1" t="s">
        <v>323</v>
      </c>
      <c r="F449" s="1" t="s">
        <v>10</v>
      </c>
      <c r="G449" s="5" t="str">
        <f t="array" ref="G449">XLOOKUP(B449,LFinder!A:A,LFinder!B:B,"absent des plateformes")</f>
        <v>absent des plateformes</v>
      </c>
    </row>
    <row r="450">
      <c r="A450" s="3" t="s">
        <v>572</v>
      </c>
      <c r="B450" s="4" t="str">
        <f>IFERROR(__xludf.DUMMYFUNCTION("REGEXREPLACE(A450, ""^https?://(www\.)?|/.*"", """")"),"b-numbers.fr")</f>
        <v>b-numbers.fr</v>
      </c>
      <c r="C450" s="1" t="s">
        <v>8</v>
      </c>
      <c r="D450" s="1">
        <v>1.0</v>
      </c>
      <c r="E450" s="1" t="s">
        <v>323</v>
      </c>
      <c r="F450" s="1" t="s">
        <v>10</v>
      </c>
      <c r="G450" s="5" t="str">
        <f t="array" ref="G450">XLOOKUP(B450,LFinder!A:A,LFinder!B:B,"absent des plateformes")</f>
        <v>absent des plateformes</v>
      </c>
    </row>
    <row r="451">
      <c r="A451" s="3" t="s">
        <v>573</v>
      </c>
      <c r="B451" s="4" t="str">
        <f>IFERROR(__xludf.DUMMYFUNCTION("REGEXREPLACE(A451, ""^https?://(www\.)?|/.*"", """")"),"saasforge.fr")</f>
        <v>saasforge.fr</v>
      </c>
      <c r="C451" s="1" t="s">
        <v>8</v>
      </c>
      <c r="D451" s="1">
        <v>1.0</v>
      </c>
      <c r="E451" s="1" t="s">
        <v>91</v>
      </c>
      <c r="F451" s="1" t="s">
        <v>10</v>
      </c>
      <c r="G451" s="5" t="str">
        <f t="array" ref="G451">XLOOKUP(B451,LFinder!A:A,LFinder!B:B,"absent des plateformes")</f>
        <v>absent des plateformes</v>
      </c>
    </row>
    <row r="452">
      <c r="A452" s="3" t="s">
        <v>574</v>
      </c>
      <c r="B452" s="4" t="str">
        <f>IFERROR(__xludf.DUMMYFUNCTION("REGEXREPLACE(A452, ""^https?://(www\.)?|/.*"", """")"),"levlaw-avocats.fr")</f>
        <v>levlaw-avocats.fr</v>
      </c>
      <c r="C452" s="1" t="s">
        <v>8</v>
      </c>
      <c r="D452" s="1">
        <v>1.0</v>
      </c>
      <c r="E452" s="1" t="s">
        <v>407</v>
      </c>
      <c r="F452" s="1" t="s">
        <v>10</v>
      </c>
      <c r="G452" s="5" t="str">
        <f t="array" ref="G452">XLOOKUP(B452,LFinder!A:A,LFinder!B:B,"absent des plateformes")</f>
        <v>absent des plateformes</v>
      </c>
    </row>
    <row r="453">
      <c r="A453" s="3" t="s">
        <v>575</v>
      </c>
      <c r="B453" s="4" t="str">
        <f>IFERROR(__xludf.DUMMYFUNCTION("REGEXREPLACE(A453, ""^https?://(www\.)?|/.*"", """")"),"sassi-avocats.com")</f>
        <v>sassi-avocats.com</v>
      </c>
      <c r="C453" s="1" t="s">
        <v>8</v>
      </c>
      <c r="D453" s="1">
        <v>1.0</v>
      </c>
      <c r="E453" s="1" t="s">
        <v>407</v>
      </c>
      <c r="F453" s="1" t="s">
        <v>10</v>
      </c>
      <c r="G453" s="5" t="str">
        <f t="array" ref="G453">XLOOKUP(B453,LFinder!A:A,LFinder!B:B,"absent des plateformes")</f>
        <v>absent des plateformes</v>
      </c>
    </row>
    <row r="454">
      <c r="A454" s="3" t="s">
        <v>576</v>
      </c>
      <c r="B454" s="4" t="str">
        <f>IFERROR(__xludf.DUMMYFUNCTION("REGEXREPLACE(A454, ""^https?://(www\.)?|/.*"", """")"),"avocat-gayola.fr")</f>
        <v>avocat-gayola.fr</v>
      </c>
      <c r="C454" s="1" t="s">
        <v>8</v>
      </c>
      <c r="D454" s="1">
        <v>1.0</v>
      </c>
      <c r="E454" s="1" t="s">
        <v>407</v>
      </c>
      <c r="F454" s="1" t="s">
        <v>10</v>
      </c>
      <c r="G454" s="5" t="str">
        <f t="array" ref="G454">XLOOKUP(B454,LFinder!A:A,LFinder!B:B,"absent des plateformes")</f>
        <v>absent des plateformes</v>
      </c>
    </row>
    <row r="455">
      <c r="A455" s="3" t="s">
        <v>577</v>
      </c>
      <c r="B455" s="4" t="str">
        <f>IFERROR(__xludf.DUMMYFUNCTION("REGEXREPLACE(A455, ""^https?://(www\.)?|/.*"", """")"),"victorisavocat.com")</f>
        <v>victorisavocat.com</v>
      </c>
      <c r="C455" s="1" t="s">
        <v>8</v>
      </c>
      <c r="D455" s="1">
        <v>1.0</v>
      </c>
      <c r="E455" s="1" t="s">
        <v>407</v>
      </c>
      <c r="F455" s="1" t="s">
        <v>10</v>
      </c>
      <c r="G455" s="5" t="str">
        <f t="array" ref="G455">XLOOKUP(B455,LFinder!A:A,LFinder!B:B,"absent des plateformes")</f>
        <v>absent des plateformes</v>
      </c>
    </row>
    <row r="456">
      <c r="A456" s="3" t="s">
        <v>578</v>
      </c>
      <c r="B456" s="4" t="str">
        <f>IFERROR(__xludf.DUMMYFUNCTION("REGEXREPLACE(A456, ""^https?://(www\.)?|/.*"", """")"),"conso-magazine.com")</f>
        <v>conso-magazine.com</v>
      </c>
      <c r="C456" s="1" t="s">
        <v>8</v>
      </c>
      <c r="D456" s="1">
        <v>1.0</v>
      </c>
      <c r="E456" s="1" t="s">
        <v>16</v>
      </c>
      <c r="F456" s="1" t="s">
        <v>10</v>
      </c>
      <c r="G456" s="5" t="str">
        <f t="array" ref="G456">XLOOKUP(B456,LFinder!A:A,LFinder!B:B,"absent des plateformes")</f>
        <v>absent des plateformes</v>
      </c>
    </row>
    <row r="457">
      <c r="A457" s="3" t="s">
        <v>579</v>
      </c>
      <c r="B457" s="4" t="str">
        <f>IFERROR(__xludf.DUMMYFUNCTION("REGEXREPLACE(A457, ""^https?://(www\.)?|/.*"", """")"),"cabinet-preiss-grunenwald.fr")</f>
        <v>cabinet-preiss-grunenwald.fr</v>
      </c>
      <c r="C457" s="1" t="s">
        <v>8</v>
      </c>
      <c r="D457" s="1">
        <v>1.0</v>
      </c>
      <c r="E457" s="1" t="s">
        <v>38</v>
      </c>
      <c r="F457" s="1" t="s">
        <v>10</v>
      </c>
      <c r="G457" s="5" t="str">
        <f t="array" ref="G457">XLOOKUP(B457,LFinder!A:A,LFinder!B:B,"absent des plateformes")</f>
        <v>absent des plateformes</v>
      </c>
    </row>
    <row r="458">
      <c r="A458" s="3" t="s">
        <v>580</v>
      </c>
      <c r="B458" s="4" t="str">
        <f>IFERROR(__xludf.DUMMYFUNCTION("REGEXREPLACE(A458, ""^https?://(www\.)?|/.*"", """")"),"cabinetdelaroque.fr")</f>
        <v>cabinetdelaroque.fr</v>
      </c>
      <c r="C458" s="1" t="s">
        <v>8</v>
      </c>
      <c r="D458" s="1">
        <v>1.0</v>
      </c>
      <c r="E458" s="1" t="s">
        <v>38</v>
      </c>
      <c r="F458" s="1" t="s">
        <v>10</v>
      </c>
      <c r="G458" s="5" t="str">
        <f t="array" ref="G458">XLOOKUP(B458,LFinder!A:A,LFinder!B:B,"absent des plateformes")</f>
        <v>absent des plateformes</v>
      </c>
    </row>
    <row r="459">
      <c r="A459" s="3" t="s">
        <v>581</v>
      </c>
      <c r="B459" s="4" t="str">
        <f>IFERROR(__xludf.DUMMYFUNCTION("REGEXREPLACE(A459, ""^https?://(www\.)?|/.*"", """")"),"ecol-expert.fr")</f>
        <v>ecol-expert.fr</v>
      </c>
      <c r="C459" s="1" t="s">
        <v>8</v>
      </c>
      <c r="D459" s="1">
        <v>1.0</v>
      </c>
      <c r="E459" s="1" t="s">
        <v>38</v>
      </c>
      <c r="F459" s="1" t="s">
        <v>10</v>
      </c>
      <c r="G459" s="5" t="str">
        <f t="array" ref="G459">XLOOKUP(B459,LFinder!A:A,LFinder!B:B,"absent des plateformes")</f>
        <v>absent des plateformes</v>
      </c>
    </row>
    <row r="460">
      <c r="A460" s="3" t="s">
        <v>582</v>
      </c>
      <c r="B460" s="4" t="str">
        <f>IFERROR(__xludf.DUMMYFUNCTION("REGEXREPLACE(A460, ""^https?://(www\.)?|/.*"", """")"),"cabinet-henny.com")</f>
        <v>cabinet-henny.com</v>
      </c>
      <c r="C460" s="1" t="s">
        <v>8</v>
      </c>
      <c r="D460" s="1">
        <v>1.0</v>
      </c>
      <c r="E460" s="1" t="s">
        <v>38</v>
      </c>
      <c r="F460" s="1" t="s">
        <v>10</v>
      </c>
      <c r="G460" s="5" t="str">
        <f t="array" ref="G460">XLOOKUP(B460,LFinder!A:A,LFinder!B:B,"absent des plateformes")</f>
        <v>absent des plateformes</v>
      </c>
    </row>
    <row r="461">
      <c r="A461" s="3" t="s">
        <v>583</v>
      </c>
      <c r="B461" s="4" t="str">
        <f>IFERROR(__xludf.DUMMYFUNCTION("REGEXREPLACE(A461, ""^https?://(www\.)?|/.*"", """")"),"blgexpertise.com")</f>
        <v>blgexpertise.com</v>
      </c>
      <c r="C461" s="1" t="s">
        <v>8</v>
      </c>
      <c r="D461" s="1">
        <v>1.0</v>
      </c>
      <c r="E461" s="1" t="s">
        <v>38</v>
      </c>
      <c r="F461" s="1" t="s">
        <v>10</v>
      </c>
      <c r="G461" s="5" t="str">
        <f t="array" ref="G461">XLOOKUP(B461,LFinder!A:A,LFinder!B:B,"absent des plateformes")</f>
        <v>absent des plateformes</v>
      </c>
    </row>
    <row r="462">
      <c r="A462" s="3" t="s">
        <v>584</v>
      </c>
      <c r="B462" s="4" t="str">
        <f>IFERROR(__xludf.DUMMYFUNCTION("REGEXREPLACE(A462, ""^https?://(www\.)?|/.*"", """")"),"blgexpertise.com")</f>
        <v>blgexpertise.com</v>
      </c>
      <c r="C462" s="1" t="s">
        <v>8</v>
      </c>
      <c r="D462" s="1">
        <v>1.0</v>
      </c>
      <c r="E462" s="1" t="s">
        <v>38</v>
      </c>
      <c r="F462" s="1" t="s">
        <v>10</v>
      </c>
      <c r="G462" s="5" t="str">
        <f t="array" ref="G462">XLOOKUP(B462,LFinder!A:A,LFinder!B:B,"absent des plateformes")</f>
        <v>absent des plateformes</v>
      </c>
    </row>
    <row r="463">
      <c r="A463" s="3" t="s">
        <v>585</v>
      </c>
      <c r="B463" s="4" t="str">
        <f>IFERROR(__xludf.DUMMYFUNCTION("REGEXREPLACE(A463, ""^https?://(www\.)?|/.*"", """")"),"cmexpert.fr")</f>
        <v>cmexpert.fr</v>
      </c>
      <c r="C463" s="1" t="s">
        <v>8</v>
      </c>
      <c r="D463" s="1">
        <v>1.0</v>
      </c>
      <c r="E463" s="1" t="s">
        <v>38</v>
      </c>
      <c r="F463" s="1" t="s">
        <v>10</v>
      </c>
      <c r="G463" s="5" t="str">
        <f t="array" ref="G463">XLOOKUP(B463,LFinder!A:A,LFinder!B:B,"absent des plateformes")</f>
        <v>absent des plateformes</v>
      </c>
    </row>
    <row r="464">
      <c r="A464" s="3" t="s">
        <v>586</v>
      </c>
      <c r="B464" s="4" t="str">
        <f>IFERROR(__xludf.DUMMYFUNCTION("REGEXREPLACE(A464, ""^https?://(www\.)?|/.*"", """")"),"mbfconseils.fr")</f>
        <v>mbfconseils.fr</v>
      </c>
      <c r="C464" s="1" t="s">
        <v>8</v>
      </c>
      <c r="D464" s="1">
        <v>1.0</v>
      </c>
      <c r="E464" s="1" t="s">
        <v>38</v>
      </c>
      <c r="F464" s="1" t="s">
        <v>10</v>
      </c>
      <c r="G464" s="5" t="str">
        <f t="array" ref="G464">XLOOKUP(B464,LFinder!A:A,LFinder!B:B,"absent des plateformes")</f>
        <v>absent des plateformes</v>
      </c>
    </row>
    <row r="465">
      <c r="A465" s="3" t="s">
        <v>587</v>
      </c>
      <c r="B465" s="4" t="str">
        <f>IFERROR(__xludf.DUMMYFUNCTION("REGEXREPLACE(A465, ""^https?://(www\.)?|/.*"", """")"),"mbfconseils.fr")</f>
        <v>mbfconseils.fr</v>
      </c>
      <c r="C465" s="1" t="s">
        <v>8</v>
      </c>
      <c r="D465" s="1">
        <v>1.0</v>
      </c>
      <c r="E465" s="1" t="s">
        <v>38</v>
      </c>
      <c r="F465" s="1" t="s">
        <v>10</v>
      </c>
      <c r="G465" s="5" t="str">
        <f t="array" ref="G465">XLOOKUP(B465,LFinder!A:A,LFinder!B:B,"absent des plateformes")</f>
        <v>absent des plateformes</v>
      </c>
    </row>
    <row r="466">
      <c r="A466" s="3" t="s">
        <v>588</v>
      </c>
      <c r="B466" s="4" t="str">
        <f>IFERROR(__xludf.DUMMYFUNCTION("REGEXREPLACE(A466, ""^https?://(www\.)?|/.*"", """")"),"mbfconseils.fr")</f>
        <v>mbfconseils.fr</v>
      </c>
      <c r="C466" s="1" t="s">
        <v>8</v>
      </c>
      <c r="D466" s="1">
        <v>1.0</v>
      </c>
      <c r="E466" s="1" t="s">
        <v>38</v>
      </c>
      <c r="F466" s="1" t="s">
        <v>10</v>
      </c>
      <c r="G466" s="5" t="str">
        <f t="array" ref="G466">XLOOKUP(B466,LFinder!A:A,LFinder!B:B,"absent des plateformes")</f>
        <v>absent des plateformes</v>
      </c>
    </row>
    <row r="467">
      <c r="A467" s="3" t="s">
        <v>589</v>
      </c>
      <c r="B467" s="4" t="str">
        <f>IFERROR(__xludf.DUMMYFUNCTION("REGEXREPLACE(A467, ""^https?://(www\.)?|/.*"", """")"),"banquepopulaire.fr")</f>
        <v>banquepopulaire.fr</v>
      </c>
      <c r="C467" s="1" t="s">
        <v>8</v>
      </c>
      <c r="D467" s="1">
        <v>1.0</v>
      </c>
      <c r="E467" s="1" t="s">
        <v>82</v>
      </c>
      <c r="F467" s="1" t="s">
        <v>10</v>
      </c>
      <c r="G467" s="5" t="str">
        <f t="array" ref="G467">XLOOKUP(B467,LFinder!A:A,LFinder!B:B,"absent des plateformes")</f>
        <v>absent des plateformes</v>
      </c>
    </row>
    <row r="468">
      <c r="A468" s="3" t="s">
        <v>590</v>
      </c>
      <c r="B468" s="4" t="str">
        <f>IFERROR(__xludf.DUMMYFUNCTION("REGEXREPLACE(A468, ""^https?://(www\.)?|/.*"", """")"),"cohesio.net")</f>
        <v>cohesio.net</v>
      </c>
      <c r="C468" s="1" t="s">
        <v>8</v>
      </c>
      <c r="D468" s="1">
        <v>1.0</v>
      </c>
      <c r="E468" s="1" t="s">
        <v>426</v>
      </c>
      <c r="F468" s="1" t="s">
        <v>10</v>
      </c>
      <c r="G468" s="5" t="str">
        <f t="array" ref="G468">XLOOKUP(B468,LFinder!A:A,LFinder!B:B,"absent des plateformes")</f>
        <v>absent des plateformes</v>
      </c>
    </row>
    <row r="469">
      <c r="A469" s="3" t="s">
        <v>591</v>
      </c>
      <c r="B469" s="4" t="str">
        <f>IFERROR(__xludf.DUMMYFUNCTION("REGEXREPLACE(A469, ""^https?://(www\.)?|/.*"", """")"),"epec.paris")</f>
        <v>epec.paris</v>
      </c>
      <c r="C469" s="1" t="s">
        <v>8</v>
      </c>
      <c r="D469" s="1">
        <v>1.0</v>
      </c>
      <c r="E469" s="1" t="s">
        <v>325</v>
      </c>
      <c r="F469" s="1" t="s">
        <v>10</v>
      </c>
      <c r="G469" s="5" t="str">
        <f t="array" ref="G469">XLOOKUP(B469,LFinder!A:A,LFinder!B:B,"absent des plateformes")</f>
        <v>absent des plateformes</v>
      </c>
    </row>
    <row r="470">
      <c r="A470" s="3" t="s">
        <v>592</v>
      </c>
      <c r="B470" s="4" t="str">
        <f>IFERROR(__xludf.DUMMYFUNCTION("REGEXREPLACE(A470, ""^https?://(www\.)?|/.*"", """")"),"expertsteam.fr")</f>
        <v>expertsteam.fr</v>
      </c>
      <c r="C470" s="1" t="s">
        <v>8</v>
      </c>
      <c r="D470" s="1">
        <v>1.0</v>
      </c>
      <c r="E470" s="1" t="s">
        <v>325</v>
      </c>
      <c r="F470" s="1" t="s">
        <v>10</v>
      </c>
      <c r="G470" s="5" t="str">
        <f t="array" ref="G470">XLOOKUP(B470,LFinder!A:A,LFinder!B:B,"absent des plateformes")</f>
        <v>absent des plateformes</v>
      </c>
    </row>
    <row r="471">
      <c r="A471" s="3" t="s">
        <v>593</v>
      </c>
      <c r="B471" s="4" t="str">
        <f>IFERROR(__xludf.DUMMYFUNCTION("REGEXREPLACE(A471, ""^https?://(www\.)?|/.*"", """")"),"mon-expert-en-gestion.com")</f>
        <v>mon-expert-en-gestion.com</v>
      </c>
      <c r="C471" s="1" t="s">
        <v>8</v>
      </c>
      <c r="D471" s="1">
        <v>1.0</v>
      </c>
      <c r="E471" s="1" t="s">
        <v>325</v>
      </c>
      <c r="F471" s="1" t="s">
        <v>10</v>
      </c>
      <c r="G471" s="5" t="str">
        <f t="array" ref="G471">XLOOKUP(B471,LFinder!A:A,LFinder!B:B,"absent des plateformes")</f>
        <v>absent des plateformes</v>
      </c>
    </row>
    <row r="472">
      <c r="A472" s="3" t="s">
        <v>594</v>
      </c>
      <c r="B472" s="4" t="str">
        <f>IFERROR(__xludf.DUMMYFUNCTION("REGEXREPLACE(A472, ""^https?://(www\.)?|/.*"", """")"),"stackindep.fr")</f>
        <v>stackindep.fr</v>
      </c>
      <c r="C472" s="1" t="s">
        <v>8</v>
      </c>
      <c r="D472" s="1">
        <v>1.0</v>
      </c>
      <c r="E472" s="1" t="s">
        <v>51</v>
      </c>
      <c r="F472" s="1" t="s">
        <v>10</v>
      </c>
      <c r="G472" s="5" t="str">
        <f t="array" ref="G472">XLOOKUP(B472,LFinder!A:A,LFinder!B:B,"absent des plateformes")</f>
        <v>absent des plateformes</v>
      </c>
    </row>
    <row r="473">
      <c r="A473" s="3" t="s">
        <v>595</v>
      </c>
      <c r="B473" s="4" t="str">
        <f>IFERROR(__xludf.DUMMYFUNCTION("REGEXREPLACE(A473, ""^https?://(www\.)?|/.*"", """")"),"propaieconsulting.fr")</f>
        <v>propaieconsulting.fr</v>
      </c>
      <c r="C473" s="1" t="s">
        <v>8</v>
      </c>
      <c r="D473" s="1">
        <v>1.0</v>
      </c>
      <c r="E473" s="1" t="s">
        <v>31</v>
      </c>
      <c r="F473" s="1" t="s">
        <v>10</v>
      </c>
      <c r="G473" s="5" t="str">
        <f t="array" ref="G473">XLOOKUP(B473,LFinder!A:A,LFinder!B:B,"absent des plateformes")</f>
        <v>absent des plateformes</v>
      </c>
    </row>
    <row r="474">
      <c r="A474" s="3" t="s">
        <v>596</v>
      </c>
      <c r="B474" s="4" t="str">
        <f>IFERROR(__xludf.DUMMYFUNCTION("REGEXREPLACE(A474, ""^https?://(www\.)?|/.*"", """")"),"xpays.fr")</f>
        <v>xpays.fr</v>
      </c>
      <c r="C474" s="1" t="s">
        <v>8</v>
      </c>
      <c r="D474" s="1">
        <v>1.0</v>
      </c>
      <c r="E474" s="1" t="s">
        <v>31</v>
      </c>
      <c r="F474" s="1" t="s">
        <v>10</v>
      </c>
      <c r="G474" s="5" t="str">
        <f t="array" ref="G474">XLOOKUP(B474,LFinder!A:A,LFinder!B:B,"absent des plateformes")</f>
        <v>absent des plateformes</v>
      </c>
    </row>
    <row r="475">
      <c r="A475" s="3" t="s">
        <v>597</v>
      </c>
      <c r="B475" s="4" t="str">
        <f>IFERROR(__xludf.DUMMYFUNCTION("REGEXREPLACE(A475, ""^https?://(www\.)?|/.*"", """")"),"clrpaie.fr")</f>
        <v>clrpaie.fr</v>
      </c>
      <c r="C475" s="1" t="s">
        <v>8</v>
      </c>
      <c r="D475" s="1">
        <v>1.0</v>
      </c>
      <c r="E475" s="1" t="s">
        <v>31</v>
      </c>
      <c r="F475" s="1" t="s">
        <v>10</v>
      </c>
      <c r="G475" s="5" t="str">
        <f t="array" ref="G475">XLOOKUP(B475,LFinder!A:A,LFinder!B:B,"absent des plateformes")</f>
        <v>absent des plateformes</v>
      </c>
    </row>
    <row r="476">
      <c r="A476" s="3" t="s">
        <v>598</v>
      </c>
      <c r="B476" s="4" t="str">
        <f>IFERROR(__xludf.DUMMYFUNCTION("REGEXREPLACE(A476, ""^https?://(www\.)?|/.*"", """")"),"pgs-solutions.fr")</f>
        <v>pgs-solutions.fr</v>
      </c>
      <c r="C476" s="1" t="s">
        <v>8</v>
      </c>
      <c r="D476" s="1">
        <v>1.0</v>
      </c>
      <c r="E476" s="1" t="s">
        <v>31</v>
      </c>
      <c r="F476" s="1" t="s">
        <v>10</v>
      </c>
      <c r="G476" s="5" t="str">
        <f t="array" ref="G476">XLOOKUP(B476,LFinder!A:A,LFinder!B:B,"absent des plateformes")</f>
        <v>absent des plateformes</v>
      </c>
    </row>
    <row r="477">
      <c r="A477" s="3" t="s">
        <v>599</v>
      </c>
      <c r="B477" s="4" t="str">
        <f>IFERROR(__xludf.DUMMYFUNCTION("REGEXREPLACE(A477, ""^https?://(www\.)?|/.*"", """")"),"efficiencepaie.fr")</f>
        <v>efficiencepaie.fr</v>
      </c>
      <c r="C477" s="1" t="s">
        <v>8</v>
      </c>
      <c r="D477" s="1">
        <v>1.0</v>
      </c>
      <c r="E477" s="1" t="s">
        <v>31</v>
      </c>
      <c r="F477" s="1" t="s">
        <v>10</v>
      </c>
      <c r="G477" s="5" t="str">
        <f t="array" ref="G477">XLOOKUP(B477,LFinder!A:A,LFinder!B:B,"absent des plateformes")</f>
        <v>absent des plateformes</v>
      </c>
    </row>
    <row r="478">
      <c r="A478" s="3" t="s">
        <v>600</v>
      </c>
      <c r="B478" s="4" t="str">
        <f>IFERROR(__xludf.DUMMYFUNCTION("REGEXREPLACE(A478, ""^https?://(www\.)?|/.*"", """")"),"gpe-solutions.fr")</f>
        <v>gpe-solutions.fr</v>
      </c>
      <c r="C478" s="1" t="s">
        <v>8</v>
      </c>
      <c r="D478" s="1">
        <v>1.0</v>
      </c>
      <c r="E478" s="1" t="s">
        <v>31</v>
      </c>
      <c r="F478" s="1" t="s">
        <v>10</v>
      </c>
      <c r="G478" s="5" t="str">
        <f t="array" ref="G478">XLOOKUP(B478,LFinder!A:A,LFinder!B:B,"absent des plateformes")</f>
        <v>absent des plateformes</v>
      </c>
    </row>
    <row r="479">
      <c r="A479" s="3" t="s">
        <v>601</v>
      </c>
      <c r="B479" s="4" t="str">
        <f>IFERROR(__xludf.DUMMYFUNCTION("REGEXREPLACE(A479, ""^https?://(www\.)?|/.*"", """")"),"solutions.srci.fr")</f>
        <v>solutions.srci.fr</v>
      </c>
      <c r="C479" s="1" t="s">
        <v>8</v>
      </c>
      <c r="D479" s="1">
        <v>1.0</v>
      </c>
      <c r="E479" s="1" t="s">
        <v>33</v>
      </c>
      <c r="F479" s="1" t="s">
        <v>10</v>
      </c>
      <c r="G479" s="5" t="str">
        <f t="array" ref="G479">XLOOKUP(B479,LFinder!A:A,LFinder!B:B,"absent des plateformes")</f>
        <v>absent des plateformes</v>
      </c>
    </row>
    <row r="480">
      <c r="A480" s="3" t="s">
        <v>602</v>
      </c>
      <c r="B480" s="4" t="str">
        <f>IFERROR(__xludf.DUMMYFUNCTION("REGEXREPLACE(A480, ""^https?://(www\.)?|/.*"", """")"),"info.dext.com")</f>
        <v>info.dext.com</v>
      </c>
      <c r="C480" s="1" t="s">
        <v>8</v>
      </c>
      <c r="D480" s="1">
        <v>1.0</v>
      </c>
      <c r="E480" s="1" t="s">
        <v>33</v>
      </c>
      <c r="F480" s="1" t="s">
        <v>10</v>
      </c>
      <c r="G480" s="5" t="str">
        <f t="array" ref="G480">XLOOKUP(B480,LFinder!A:A,LFinder!B:B,"absent des plateformes")</f>
        <v>absent des plateformes</v>
      </c>
    </row>
    <row r="481">
      <c r="A481" s="3" t="s">
        <v>603</v>
      </c>
      <c r="B481" s="4" t="str">
        <f>IFERROR(__xludf.DUMMYFUNCTION("REGEXREPLACE(A481, ""^https?://(www\.)?|/.*"", """")"),"axens-audit.fr")</f>
        <v>axens-audit.fr</v>
      </c>
      <c r="C481" s="1" t="s">
        <v>8</v>
      </c>
      <c r="D481" s="1">
        <v>1.0</v>
      </c>
      <c r="E481" s="1" t="s">
        <v>200</v>
      </c>
      <c r="F481" s="1" t="s">
        <v>10</v>
      </c>
      <c r="G481" s="5" t="str">
        <f t="array" ref="G481">XLOOKUP(B481,LFinder!A:A,LFinder!B:B,"absent des plateformes")</f>
        <v>absent des plateformes</v>
      </c>
    </row>
    <row r="482">
      <c r="A482" s="3" t="s">
        <v>604</v>
      </c>
      <c r="B482" s="4" t="str">
        <f>IFERROR(__xludf.DUMMYFUNCTION("REGEXREPLACE(A482, ""^https?://(www\.)?|/.*"", """")"),"gan.fr")</f>
        <v>gan.fr</v>
      </c>
      <c r="C482" s="1" t="s">
        <v>8</v>
      </c>
      <c r="D482" s="1">
        <v>1.0</v>
      </c>
      <c r="E482" s="1" t="s">
        <v>200</v>
      </c>
      <c r="F482" s="1" t="s">
        <v>10</v>
      </c>
      <c r="G482" s="5" t="str">
        <f t="array" ref="G482">XLOOKUP(B482,LFinder!A:A,LFinder!B:B,"absent des plateformes")</f>
        <v>absent des plateformes</v>
      </c>
    </row>
    <row r="483">
      <c r="A483" s="3" t="s">
        <v>605</v>
      </c>
      <c r="B483" s="4" t="str">
        <f>IFERROR(__xludf.DUMMYFUNCTION("REGEXREPLACE(A483, ""^https?://(www\.)?|/.*"", """")"),"economiser-mon-argent.com")</f>
        <v>economiser-mon-argent.com</v>
      </c>
      <c r="C483" s="1" t="s">
        <v>8</v>
      </c>
      <c r="D483" s="1">
        <v>1.0</v>
      </c>
      <c r="E483" s="1" t="s">
        <v>82</v>
      </c>
      <c r="F483" s="1" t="s">
        <v>10</v>
      </c>
      <c r="G483" s="5" t="str">
        <f t="array" ref="G483">XLOOKUP(B483,LFinder!A:A,LFinder!B:B,"absent des plateformes")</f>
        <v>absent des plateformes</v>
      </c>
    </row>
    <row r="484">
      <c r="A484" s="3" t="s">
        <v>606</v>
      </c>
      <c r="B484" s="4" t="str">
        <f>IFERROR(__xludf.DUMMYFUNCTION("REGEXREPLACE(A484, ""^https?://(www\.)?|/.*"", """")"),"blendy.co")</f>
        <v>blendy.co</v>
      </c>
      <c r="C484" s="1" t="s">
        <v>8</v>
      </c>
      <c r="D484" s="1">
        <v>1.0</v>
      </c>
      <c r="E484" s="1" t="s">
        <v>82</v>
      </c>
      <c r="F484" s="1" t="s">
        <v>10</v>
      </c>
      <c r="G484" s="5" t="str">
        <f t="array" ref="G484">XLOOKUP(B484,LFinder!A:A,LFinder!B:B,"absent des plateformes")</f>
        <v>absent des plateformes</v>
      </c>
    </row>
    <row r="485">
      <c r="A485" s="3" t="s">
        <v>607</v>
      </c>
      <c r="B485" s="4" t="str">
        <f>IFERROR(__xludf.DUMMYFUNCTION("REGEXREPLACE(A485, ""^https?://(www\.)?|/.*"", """")"),"axonaut.com")</f>
        <v>axonaut.com</v>
      </c>
      <c r="C485" s="1" t="s">
        <v>8</v>
      </c>
      <c r="D485" s="1">
        <v>1.0</v>
      </c>
      <c r="E485" s="1" t="s">
        <v>16</v>
      </c>
      <c r="F485" s="1" t="s">
        <v>10</v>
      </c>
      <c r="G485" s="5" t="str">
        <f t="array" ref="G485">XLOOKUP(B485,LFinder!A:A,LFinder!B:B,"absent des plateformes")</f>
        <v>absent des plateformes</v>
      </c>
    </row>
    <row r="486">
      <c r="A486" s="3" t="s">
        <v>608</v>
      </c>
      <c r="B486" s="4" t="str">
        <f>IFERROR(__xludf.DUMMYFUNCTION("REGEXREPLACE(A486, ""^https?://(www\.)?|/.*"", """")"),"axonaut.com")</f>
        <v>axonaut.com</v>
      </c>
      <c r="C486" s="1" t="s">
        <v>8</v>
      </c>
      <c r="D486" s="1">
        <v>1.0</v>
      </c>
      <c r="E486" s="1" t="s">
        <v>82</v>
      </c>
      <c r="F486" s="1" t="s">
        <v>10</v>
      </c>
      <c r="G486" s="5" t="str">
        <f t="array" ref="G486">XLOOKUP(B486,LFinder!A:A,LFinder!B:B,"absent des plateformes")</f>
        <v>absent des plateformes</v>
      </c>
    </row>
    <row r="487">
      <c r="A487" s="3" t="s">
        <v>609</v>
      </c>
      <c r="B487" s="4" t="str">
        <f>IFERROR(__xludf.DUMMYFUNCTION("REGEXREPLACE(A487, ""^https?://(www\.)?|/.*"", """")"),"budgetbanque.fr")</f>
        <v>budgetbanque.fr</v>
      </c>
      <c r="C487" s="1" t="s">
        <v>8</v>
      </c>
      <c r="D487" s="1">
        <v>1.0</v>
      </c>
      <c r="E487" s="1" t="s">
        <v>56</v>
      </c>
      <c r="F487" s="1" t="s">
        <v>10</v>
      </c>
      <c r="G487" s="5" t="str">
        <f t="array" ref="G487">XLOOKUP(B487,LFinder!A:A,LFinder!B:B,"absent des plateformes")</f>
        <v>absent des plateformes</v>
      </c>
    </row>
    <row r="488">
      <c r="A488" s="3" t="s">
        <v>610</v>
      </c>
      <c r="B488" s="4" t="str">
        <f>IFERROR(__xludf.DUMMYFUNCTION("REGEXREPLACE(A488, ""^https?://(www\.)?|/.*"", """")"),"fullcompta.fr")</f>
        <v>fullcompta.fr</v>
      </c>
      <c r="C488" s="1" t="s">
        <v>8</v>
      </c>
      <c r="D488" s="1">
        <v>1.0</v>
      </c>
      <c r="E488" s="1" t="s">
        <v>82</v>
      </c>
      <c r="F488" s="1" t="s">
        <v>10</v>
      </c>
      <c r="G488" s="5" t="str">
        <f t="array" ref="G488">XLOOKUP(B488,LFinder!A:A,LFinder!B:B,"absent des plateformes")</f>
        <v>absent des plateformes</v>
      </c>
    </row>
    <row r="489">
      <c r="A489" s="3" t="s">
        <v>611</v>
      </c>
      <c r="B489" s="4" t="str">
        <f>IFERROR(__xludf.DUMMYFUNCTION("REGEXREPLACE(A489, ""^https?://(www\.)?|/.*"", """")"),"go.incwo.com")</f>
        <v>go.incwo.com</v>
      </c>
      <c r="C489" s="1" t="s">
        <v>8</v>
      </c>
      <c r="D489" s="1">
        <v>1.0</v>
      </c>
      <c r="E489" s="1" t="s">
        <v>82</v>
      </c>
      <c r="F489" s="1" t="s">
        <v>10</v>
      </c>
      <c r="G489" s="5" t="str">
        <f t="array" ref="G489">XLOOKUP(B489,LFinder!A:A,LFinder!B:B,"absent des plateformes")</f>
        <v>absent des plateformes</v>
      </c>
    </row>
    <row r="490">
      <c r="A490" s="3" t="s">
        <v>612</v>
      </c>
      <c r="B490" s="4" t="str">
        <f>IFERROR(__xludf.DUMMYFUNCTION("REGEXREPLACE(A490, ""^https?://(www\.)?|/.*"", """")"),"procompta.com")</f>
        <v>procompta.com</v>
      </c>
      <c r="C490" s="1" t="s">
        <v>8</v>
      </c>
      <c r="D490" s="1">
        <v>1.0</v>
      </c>
      <c r="E490" s="1" t="s">
        <v>82</v>
      </c>
      <c r="F490" s="1" t="s">
        <v>10</v>
      </c>
      <c r="G490" s="5" t="str">
        <f t="array" ref="G490">XLOOKUP(B490,LFinder!A:A,LFinder!B:B,"absent des plateformes")</f>
        <v>absent des plateformes</v>
      </c>
    </row>
    <row r="491">
      <c r="A491" s="3" t="s">
        <v>613</v>
      </c>
      <c r="B491" s="4" t="str">
        <f>IFERROR(__xludf.DUMMYFUNCTION("REGEXREPLACE(A491, ""^https?://(www\.)?|/.*"", """")"),"facturation-electronique-comparatif.fr")</f>
        <v>facturation-electronique-comparatif.fr</v>
      </c>
      <c r="C491" s="1" t="s">
        <v>8</v>
      </c>
      <c r="D491" s="1">
        <v>1.0</v>
      </c>
      <c r="E491" s="1" t="s">
        <v>91</v>
      </c>
      <c r="F491" s="1" t="s">
        <v>10</v>
      </c>
      <c r="G491" s="5" t="str">
        <f t="array" ref="G491">XLOOKUP(B491,LFinder!A:A,LFinder!B:B,"absent des plateformes")</f>
        <v>absent des plateformes</v>
      </c>
    </row>
    <row r="492">
      <c r="A492" s="3" t="s">
        <v>614</v>
      </c>
      <c r="B492" s="4" t="str">
        <f>IFERROR(__xludf.DUMMYFUNCTION("REGEXREPLACE(A492, ""^https?://(www\.)?|/.*"", """")"),"facturation-electronique-comparatif.fr")</f>
        <v>facturation-electronique-comparatif.fr</v>
      </c>
      <c r="C492" s="1" t="s">
        <v>8</v>
      </c>
      <c r="D492" s="1">
        <v>1.0</v>
      </c>
      <c r="E492" s="1" t="s">
        <v>82</v>
      </c>
      <c r="F492" s="1" t="s">
        <v>10</v>
      </c>
      <c r="G492" s="5" t="str">
        <f t="array" ref="G492">XLOOKUP(B492,LFinder!A:A,LFinder!B:B,"absent des plateformes")</f>
        <v>absent des plateformes</v>
      </c>
    </row>
    <row r="493">
      <c r="A493" s="3" t="s">
        <v>615</v>
      </c>
      <c r="B493" s="4" t="str">
        <f>IFERROR(__xludf.DUMMYFUNCTION("REGEXREPLACE(A493, ""^https?://(www\.)?|/.*"", """")"),"youseeme.fr")</f>
        <v>youseeme.fr</v>
      </c>
      <c r="C493" s="1" t="s">
        <v>8</v>
      </c>
      <c r="D493" s="1">
        <v>1.0</v>
      </c>
      <c r="E493" s="1" t="s">
        <v>82</v>
      </c>
      <c r="F493" s="1" t="s">
        <v>10</v>
      </c>
      <c r="G493" s="5" t="str">
        <f t="array" ref="G493">XLOOKUP(B493,LFinder!A:A,LFinder!B:B,"absent des plateformes")</f>
        <v>absent des plateformes</v>
      </c>
    </row>
    <row r="494">
      <c r="A494" s="3" t="s">
        <v>616</v>
      </c>
      <c r="B494" s="4" t="str">
        <f>IFERROR(__xludf.DUMMYFUNCTION("REGEXREPLACE(A494, ""^https?://(www\.)?|/.*"", """")"),"fulll.fr")</f>
        <v>fulll.fr</v>
      </c>
      <c r="C494" s="1" t="s">
        <v>8</v>
      </c>
      <c r="D494" s="1">
        <v>1.0</v>
      </c>
      <c r="E494" s="1" t="s">
        <v>82</v>
      </c>
      <c r="F494" s="1" t="s">
        <v>10</v>
      </c>
      <c r="G494" s="5" t="str">
        <f t="array" ref="G494">XLOOKUP(B494,LFinder!A:A,LFinder!B:B,"absent des plateformes")</f>
        <v>absent des plateformes</v>
      </c>
    </row>
    <row r="495">
      <c r="A495" s="3" t="s">
        <v>617</v>
      </c>
      <c r="B495" s="4" t="str">
        <f>IFERROR(__xludf.DUMMYFUNCTION("REGEXREPLACE(A495, ""^https?://(www\.)?|/.*"", """")"),"saas-compare.fr")</f>
        <v>saas-compare.fr</v>
      </c>
      <c r="C495" s="1" t="s">
        <v>8</v>
      </c>
      <c r="D495" s="1">
        <v>1.0</v>
      </c>
      <c r="E495" s="1" t="s">
        <v>12</v>
      </c>
      <c r="F495" s="1" t="s">
        <v>10</v>
      </c>
      <c r="G495" s="5" t="str">
        <f t="array" ref="G495">XLOOKUP(B495,LFinder!A:A,LFinder!B:B,"absent des plateformes")</f>
        <v>absent des plateformes</v>
      </c>
    </row>
    <row r="496">
      <c r="A496" s="3" t="s">
        <v>618</v>
      </c>
      <c r="B496" s="4" t="str">
        <f>IFERROR(__xludf.DUMMYFUNCTION("REGEXREPLACE(A496, ""^https?://(www\.)?|/.*"", """")"),"larevuecompta.fr")</f>
        <v>larevuecompta.fr</v>
      </c>
      <c r="C496" s="1" t="s">
        <v>8</v>
      </c>
      <c r="D496" s="1">
        <v>1.0</v>
      </c>
      <c r="E496" s="1" t="s">
        <v>12</v>
      </c>
      <c r="F496" s="1" t="s">
        <v>10</v>
      </c>
      <c r="G496" s="5" t="str">
        <f t="array" ref="G496">XLOOKUP(B496,LFinder!A:A,LFinder!B:B,"absent des plateformes")</f>
        <v>absent des plateformes</v>
      </c>
    </row>
    <row r="497">
      <c r="A497" s="3" t="s">
        <v>619</v>
      </c>
      <c r="B497" s="4" t="str">
        <f>IFERROR(__xludf.DUMMYFUNCTION("REGEXREPLACE(A497, ""^https?://(www\.)?|/.*"", """")"),"larevuecompta.fr")</f>
        <v>larevuecompta.fr</v>
      </c>
      <c r="C497" s="1" t="s">
        <v>8</v>
      </c>
      <c r="D497" s="1">
        <v>1.0</v>
      </c>
      <c r="E497" s="1" t="s">
        <v>12</v>
      </c>
      <c r="F497" s="1" t="s">
        <v>10</v>
      </c>
      <c r="G497" s="5" t="str">
        <f t="array" ref="G497">XLOOKUP(B497,LFinder!A:A,LFinder!B:B,"absent des plateformes")</f>
        <v>absent des plateformes</v>
      </c>
    </row>
    <row r="498">
      <c r="A498" s="3" t="s">
        <v>620</v>
      </c>
      <c r="B498" s="4" t="str">
        <f>IFERROR(__xludf.DUMMYFUNCTION("REGEXREPLACE(A498, ""^https?://(www\.)?|/.*"", """")"),"banque-taux.com")</f>
        <v>banque-taux.com</v>
      </c>
      <c r="C498" s="1" t="s">
        <v>8</v>
      </c>
      <c r="D498" s="1">
        <v>1.0</v>
      </c>
      <c r="E498" s="1" t="s">
        <v>126</v>
      </c>
      <c r="F498" s="1" t="s">
        <v>10</v>
      </c>
      <c r="G498" s="5" t="str">
        <f t="array" ref="G498">XLOOKUP(B498,LFinder!A:A,LFinder!B:B,"absent des plateformes")</f>
        <v>absent des plateformes</v>
      </c>
    </row>
    <row r="499">
      <c r="A499" s="3" t="s">
        <v>621</v>
      </c>
      <c r="B499" s="4" t="str">
        <f>IFERROR(__xludf.DUMMYFUNCTION("REGEXREPLACE(A499, ""^https?://(www\.)?|/.*"", """")"),"opaylink.com")</f>
        <v>opaylink.com</v>
      </c>
      <c r="C499" s="1" t="s">
        <v>8</v>
      </c>
      <c r="D499" s="1">
        <v>1.0</v>
      </c>
      <c r="E499" s="1" t="s">
        <v>45</v>
      </c>
      <c r="F499" s="1" t="s">
        <v>10</v>
      </c>
      <c r="G499" s="5" t="str">
        <f t="array" ref="G499">XLOOKUP(B499,LFinder!A:A,LFinder!B:B,"absent des plateformes")</f>
        <v>absent des plateformes</v>
      </c>
    </row>
    <row r="500">
      <c r="A500" s="3" t="s">
        <v>622</v>
      </c>
      <c r="B500" s="4" t="str">
        <f>IFERROR(__xludf.DUMMYFUNCTION("REGEXREPLACE(A500, ""^https?://(www\.)?|/.*"", """")"),"hrpaiepartner.com")</f>
        <v>hrpaiepartner.com</v>
      </c>
      <c r="C500" s="1" t="s">
        <v>8</v>
      </c>
      <c r="D500" s="1">
        <v>1.0</v>
      </c>
      <c r="E500" s="1" t="s">
        <v>45</v>
      </c>
      <c r="F500" s="1" t="s">
        <v>10</v>
      </c>
      <c r="G500" s="5" t="str">
        <f t="array" ref="G500">XLOOKUP(B500,LFinder!A:A,LFinder!B:B,"absent des plateformes")</f>
        <v>absent des plateformes</v>
      </c>
    </row>
    <row r="501">
      <c r="A501" s="3" t="s">
        <v>623</v>
      </c>
      <c r="B501" s="4" t="str">
        <f>IFERROR(__xludf.DUMMYFUNCTION("REGEXREPLACE(A501, ""^https?://(www\.)?|/.*"", """")"),"payjob.fr")</f>
        <v>payjob.fr</v>
      </c>
      <c r="C501" s="1" t="s">
        <v>8</v>
      </c>
      <c r="D501" s="1">
        <v>1.0</v>
      </c>
      <c r="E501" s="1" t="s">
        <v>45</v>
      </c>
      <c r="F501" s="1" t="s">
        <v>10</v>
      </c>
      <c r="G501" s="5" t="str">
        <f t="array" ref="G501">XLOOKUP(B501,LFinder!A:A,LFinder!B:B,"absent des plateformes")</f>
        <v>absent des plateformes</v>
      </c>
    </row>
    <row r="502">
      <c r="A502" s="3" t="s">
        <v>624</v>
      </c>
      <c r="B502" s="4" t="str">
        <f>IFERROR(__xludf.DUMMYFUNCTION("REGEXREPLACE(A502, ""^https?://(www\.)?|/.*"", """")"),"sefior.fr")</f>
        <v>sefior.fr</v>
      </c>
      <c r="C502" s="1" t="s">
        <v>8</v>
      </c>
      <c r="D502" s="1">
        <v>1.0</v>
      </c>
      <c r="E502" s="1" t="s">
        <v>45</v>
      </c>
      <c r="F502" s="1" t="s">
        <v>10</v>
      </c>
      <c r="G502" s="5" t="str">
        <f t="array" ref="G502">XLOOKUP(B502,LFinder!A:A,LFinder!B:B,"absent des plateformes")</f>
        <v>absent des plateformes</v>
      </c>
    </row>
    <row r="503">
      <c r="A503" s="3" t="s">
        <v>625</v>
      </c>
      <c r="B503" s="4" t="str">
        <f>IFERROR(__xludf.DUMMYFUNCTION("REGEXREPLACE(A503, ""^https?://(www\.)?|/.*"", """")"),"cabinet-soveco.fr")</f>
        <v>cabinet-soveco.fr</v>
      </c>
      <c r="C503" s="1" t="s">
        <v>8</v>
      </c>
      <c r="D503" s="1">
        <v>1.0</v>
      </c>
      <c r="E503" s="1" t="s">
        <v>38</v>
      </c>
      <c r="F503" s="1" t="s">
        <v>10</v>
      </c>
      <c r="G503" s="5" t="str">
        <f t="array" ref="G503">XLOOKUP(B503,LFinder!A:A,LFinder!B:B,"absent des plateformes")</f>
        <v>absent des plateformes</v>
      </c>
    </row>
    <row r="504">
      <c r="A504" s="3" t="s">
        <v>626</v>
      </c>
      <c r="B504" s="4" t="str">
        <f>IFERROR(__xludf.DUMMYFUNCTION("REGEXREPLACE(A504, ""^https?://(www\.)?|/.*"", """")"),"proxi-expert-comptable.fr")</f>
        <v>proxi-expert-comptable.fr</v>
      </c>
      <c r="C504" s="1" t="s">
        <v>8</v>
      </c>
      <c r="D504" s="1">
        <v>1.0</v>
      </c>
      <c r="E504" s="1" t="s">
        <v>38</v>
      </c>
      <c r="F504" s="1" t="s">
        <v>10</v>
      </c>
      <c r="G504" s="5" t="str">
        <f t="array" ref="G504">XLOOKUP(B504,LFinder!A:A,LFinder!B:B,"absent des plateformes")</f>
        <v>absent des plateformes</v>
      </c>
    </row>
    <row r="505">
      <c r="A505" s="3" t="s">
        <v>627</v>
      </c>
      <c r="B505" s="4" t="str">
        <f>IFERROR(__xludf.DUMMYFUNCTION("REGEXREPLACE(A505, ""^https?://(www\.)?|/.*"", """")"),"kallianceconseil.fr")</f>
        <v>kallianceconseil.fr</v>
      </c>
      <c r="C505" s="1" t="s">
        <v>8</v>
      </c>
      <c r="D505" s="1">
        <v>1.0</v>
      </c>
      <c r="E505" s="1" t="s">
        <v>38</v>
      </c>
      <c r="F505" s="1" t="s">
        <v>10</v>
      </c>
      <c r="G505" s="5" t="str">
        <f t="array" ref="G505">XLOOKUP(B505,LFinder!A:A,LFinder!B:B,"absent des plateformes")</f>
        <v>absent des plateformes</v>
      </c>
    </row>
    <row r="506">
      <c r="A506" s="3" t="s">
        <v>628</v>
      </c>
      <c r="B506" s="4" t="str">
        <f>IFERROR(__xludf.DUMMYFUNCTION("REGEXREPLACE(A506, ""^https?://(www\.)?|/.*"", """")"),"ideo-conseil.fr")</f>
        <v>ideo-conseil.fr</v>
      </c>
      <c r="C506" s="1" t="s">
        <v>8</v>
      </c>
      <c r="D506" s="1">
        <v>1.0</v>
      </c>
      <c r="E506" s="1" t="s">
        <v>38</v>
      </c>
      <c r="F506" s="1" t="s">
        <v>10</v>
      </c>
      <c r="G506" s="5" t="str">
        <f t="array" ref="G506">XLOOKUP(B506,LFinder!A:A,LFinder!B:B,"absent des plateformes")</f>
        <v>absent des plateformes</v>
      </c>
    </row>
    <row r="507">
      <c r="A507" s="3" t="s">
        <v>629</v>
      </c>
      <c r="B507" s="4" t="str">
        <f>IFERROR(__xludf.DUMMYFUNCTION("REGEXREPLACE(A507, ""^https?://(www\.)?|/.*"", """")"),"polarisconseils.com")</f>
        <v>polarisconseils.com</v>
      </c>
      <c r="C507" s="1" t="s">
        <v>8</v>
      </c>
      <c r="D507" s="1">
        <v>1.0</v>
      </c>
      <c r="E507" s="1" t="s">
        <v>38</v>
      </c>
      <c r="F507" s="1" t="s">
        <v>10</v>
      </c>
      <c r="G507" s="5" t="str">
        <f t="array" ref="G507">XLOOKUP(B507,LFinder!A:A,LFinder!B:B,"absent des plateformes")</f>
        <v>absent des plateformes</v>
      </c>
    </row>
    <row r="508">
      <c r="A508" s="3" t="s">
        <v>630</v>
      </c>
      <c r="B508" s="4" t="str">
        <f>IFERROR(__xludf.DUMMYFUNCTION("REGEXREPLACE(A508, ""^https?://(www\.)?|/.*"", """")"),"gesco-sa.fr")</f>
        <v>gesco-sa.fr</v>
      </c>
      <c r="C508" s="1" t="s">
        <v>8</v>
      </c>
      <c r="D508" s="1">
        <v>1.0</v>
      </c>
      <c r="E508" s="1" t="s">
        <v>38</v>
      </c>
      <c r="F508" s="1" t="s">
        <v>10</v>
      </c>
      <c r="G508" s="5" t="str">
        <f t="array" ref="G508">XLOOKUP(B508,LFinder!A:A,LFinder!B:B,"absent des plateformes")</f>
        <v>absent des plateformes</v>
      </c>
    </row>
    <row r="509">
      <c r="A509" s="3" t="s">
        <v>631</v>
      </c>
      <c r="B509" s="4" t="str">
        <f>IFERROR(__xludf.DUMMYFUNCTION("REGEXREPLACE(A509, ""^https?://(www\.)?|/.*"", """")"),"auditpl.com")</f>
        <v>auditpl.com</v>
      </c>
      <c r="C509" s="1" t="s">
        <v>8</v>
      </c>
      <c r="D509" s="1">
        <v>1.0</v>
      </c>
      <c r="E509" s="1" t="s">
        <v>38</v>
      </c>
      <c r="F509" s="1" t="s">
        <v>10</v>
      </c>
      <c r="G509" s="5" t="str">
        <f t="array" ref="G509">XLOOKUP(B509,LFinder!A:A,LFinder!B:B,"absent des plateformes")</f>
        <v>absent des plateformes</v>
      </c>
    </row>
    <row r="510">
      <c r="A510" s="3" t="s">
        <v>632</v>
      </c>
      <c r="B510" s="4" t="str">
        <f>IFERROR(__xludf.DUMMYFUNCTION("REGEXREPLACE(A510, ""^https?://(www\.)?|/.*"", """")"),"smavocat.fr")</f>
        <v>smavocat.fr</v>
      </c>
      <c r="C510" s="1" t="s">
        <v>8</v>
      </c>
      <c r="D510" s="1">
        <v>1.0</v>
      </c>
      <c r="E510" s="1" t="s">
        <v>407</v>
      </c>
      <c r="F510" s="1" t="s">
        <v>10</v>
      </c>
      <c r="G510" s="5" t="str">
        <f t="array" ref="G510">XLOOKUP(B510,LFinder!A:A,LFinder!B:B,"absent des plateformes")</f>
        <v>absent des plateformes</v>
      </c>
    </row>
    <row r="511">
      <c r="A511" s="3" t="s">
        <v>633</v>
      </c>
      <c r="B511" s="4" t="str">
        <f>IFERROR(__xludf.DUMMYFUNCTION("REGEXREPLACE(A511, ""^https?://(www\.)?|/.*"", """")"),"negotium-avocats.com")</f>
        <v>negotium-avocats.com</v>
      </c>
      <c r="C511" s="1" t="s">
        <v>8</v>
      </c>
      <c r="D511" s="1">
        <v>1.0</v>
      </c>
      <c r="E511" s="1" t="s">
        <v>407</v>
      </c>
      <c r="F511" s="1" t="s">
        <v>10</v>
      </c>
      <c r="G511" s="5" t="str">
        <f t="array" ref="G511">XLOOKUP(B511,LFinder!A:A,LFinder!B:B,"absent des plateformes")</f>
        <v>absent des plateformes</v>
      </c>
    </row>
    <row r="512">
      <c r="A512" s="3" t="s">
        <v>634</v>
      </c>
      <c r="B512" s="4" t="str">
        <f>IFERROR(__xludf.DUMMYFUNCTION("REGEXREPLACE(A512, ""^https?://(www\.)?|/.*"", """")"),"cabinet-themis-avocats.fr")</f>
        <v>cabinet-themis-avocats.fr</v>
      </c>
      <c r="C512" s="1" t="s">
        <v>8</v>
      </c>
      <c r="D512" s="1">
        <v>1.0</v>
      </c>
      <c r="E512" s="1" t="s">
        <v>407</v>
      </c>
      <c r="F512" s="1" t="s">
        <v>10</v>
      </c>
      <c r="G512" s="5" t="str">
        <f t="array" ref="G512">XLOOKUP(B512,LFinder!A:A,LFinder!B:B,"absent des plateformes")</f>
        <v>absent des plateformes</v>
      </c>
    </row>
    <row r="513">
      <c r="A513" s="3" t="s">
        <v>635</v>
      </c>
      <c r="B513" s="4" t="str">
        <f>IFERROR(__xludf.DUMMYFUNCTION("REGEXREPLACE(A513, ""^https?://(www\.)?|/.*"", """")"),"haas-avocats.com")</f>
        <v>haas-avocats.com</v>
      </c>
      <c r="C513" s="1" t="s">
        <v>8</v>
      </c>
      <c r="D513" s="1">
        <v>1.0</v>
      </c>
      <c r="E513" s="1" t="s">
        <v>407</v>
      </c>
      <c r="F513" s="1" t="s">
        <v>10</v>
      </c>
      <c r="G513" s="5" t="str">
        <f t="array" ref="G513">XLOOKUP(B513,LFinder!A:A,LFinder!B:B,"absent des plateformes")</f>
        <v>absent des plateformes</v>
      </c>
    </row>
    <row r="514">
      <c r="A514" s="3" t="s">
        <v>636</v>
      </c>
      <c r="B514" s="4" t="str">
        <f>IFERROR(__xludf.DUMMYFUNCTION("REGEXREPLACE(A514, ""^https?://(www\.)?|/.*"", """")"),"haas-avocats.com")</f>
        <v>haas-avocats.com</v>
      </c>
      <c r="C514" s="1" t="s">
        <v>8</v>
      </c>
      <c r="D514" s="1">
        <v>1.0</v>
      </c>
      <c r="E514" s="1" t="s">
        <v>407</v>
      </c>
      <c r="F514" s="1" t="s">
        <v>10</v>
      </c>
      <c r="G514" s="5" t="str">
        <f t="array" ref="G514">XLOOKUP(B514,LFinder!A:A,LFinder!B:B,"absent des plateformes")</f>
        <v>absent des plateformes</v>
      </c>
    </row>
    <row r="515">
      <c r="A515" s="3" t="s">
        <v>637</v>
      </c>
      <c r="B515" s="4" t="str">
        <f>IFERROR(__xludf.DUMMYFUNCTION("REGEXREPLACE(A515, ""^https?://(www\.)?|/.*"", """")"),"cabinet-toh.com")</f>
        <v>cabinet-toh.com</v>
      </c>
      <c r="C515" s="1" t="s">
        <v>8</v>
      </c>
      <c r="D515" s="1">
        <v>1.0</v>
      </c>
      <c r="E515" s="1" t="s">
        <v>407</v>
      </c>
      <c r="F515" s="1" t="s">
        <v>10</v>
      </c>
      <c r="G515" s="5" t="str">
        <f t="array" ref="G515">XLOOKUP(B515,LFinder!A:A,LFinder!B:B,"absent des plateformes")</f>
        <v>absent des plateformes</v>
      </c>
    </row>
    <row r="516">
      <c r="A516" s="3" t="s">
        <v>638</v>
      </c>
      <c r="B516" s="4" t="str">
        <f>IFERROR(__xludf.DUMMYFUNCTION("REGEXREPLACE(A516, ""^https?://(www\.)?|/.*"", """")"),"novlaw.fr")</f>
        <v>novlaw.fr</v>
      </c>
      <c r="C516" s="1" t="s">
        <v>8</v>
      </c>
      <c r="D516" s="1">
        <v>1.0</v>
      </c>
      <c r="E516" s="1" t="s">
        <v>407</v>
      </c>
      <c r="F516" s="1" t="s">
        <v>10</v>
      </c>
      <c r="G516" s="5" t="str">
        <f t="array" ref="G516">XLOOKUP(B516,LFinder!A:A,LFinder!B:B,"absent des plateformes")</f>
        <v>absent des plateformes</v>
      </c>
    </row>
    <row r="517">
      <c r="A517" s="3" t="s">
        <v>639</v>
      </c>
      <c r="B517" s="4" t="str">
        <f>IFERROR(__xludf.DUMMYFUNCTION("REGEXREPLACE(A517, ""^https?://(www\.)?|/.*"", """")"),"lx.legal")</f>
        <v>lx.legal</v>
      </c>
      <c r="C517" s="1" t="s">
        <v>8</v>
      </c>
      <c r="D517" s="1">
        <v>1.0</v>
      </c>
      <c r="E517" s="1" t="s">
        <v>407</v>
      </c>
      <c r="F517" s="1" t="s">
        <v>10</v>
      </c>
      <c r="G517" s="5" t="str">
        <f t="array" ref="G517">XLOOKUP(B517,LFinder!A:A,LFinder!B:B,"absent des plateformes")</f>
        <v>absent des plateformes</v>
      </c>
    </row>
    <row r="518">
      <c r="A518" s="3" t="s">
        <v>640</v>
      </c>
      <c r="B518" s="4" t="str">
        <f>IFERROR(__xludf.DUMMYFUNCTION("REGEXREPLACE(A518, ""^https?://(www\.)?|/.*"", """")"),"schaeffer-avocats.com")</f>
        <v>schaeffer-avocats.com</v>
      </c>
      <c r="C518" s="1" t="s">
        <v>8</v>
      </c>
      <c r="D518" s="1">
        <v>1.0</v>
      </c>
      <c r="E518" s="1" t="s">
        <v>407</v>
      </c>
      <c r="F518" s="1" t="s">
        <v>10</v>
      </c>
      <c r="G518" s="5" t="str">
        <f t="array" ref="G518">XLOOKUP(B518,LFinder!A:A,LFinder!B:B,"absent des plateformes")</f>
        <v>absent des plateformes</v>
      </c>
    </row>
    <row r="519">
      <c r="A519" s="3" t="s">
        <v>641</v>
      </c>
      <c r="B519" s="4" t="str">
        <f>IFERROR(__xludf.DUMMYFUNCTION("REGEXREPLACE(A519, ""^https?://(www\.)?|/.*"", """")"),"sdgavocats.fr")</f>
        <v>sdgavocats.fr</v>
      </c>
      <c r="C519" s="1" t="s">
        <v>8</v>
      </c>
      <c r="D519" s="1">
        <v>1.0</v>
      </c>
      <c r="E519" s="1" t="s">
        <v>407</v>
      </c>
      <c r="F519" s="1" t="s">
        <v>10</v>
      </c>
      <c r="G519" s="5" t="str">
        <f t="array" ref="G519">XLOOKUP(B519,LFinder!A:A,LFinder!B:B,"absent des plateformes")</f>
        <v>absent des plateformes</v>
      </c>
    </row>
    <row r="520">
      <c r="A520" s="3" t="s">
        <v>642</v>
      </c>
      <c r="B520" s="4" t="str">
        <f>IFERROR(__xludf.DUMMYFUNCTION("REGEXREPLACE(A520, ""^https?://(www\.)?|/.*"", """")"),"nmcg.fr")</f>
        <v>nmcg.fr</v>
      </c>
      <c r="C520" s="1" t="s">
        <v>8</v>
      </c>
      <c r="D520" s="1">
        <v>1.0</v>
      </c>
      <c r="E520" s="1" t="s">
        <v>407</v>
      </c>
      <c r="F520" s="1" t="s">
        <v>10</v>
      </c>
      <c r="G520" s="5" t="str">
        <f t="array" ref="G520">XLOOKUP(B520,LFinder!A:A,LFinder!B:B,"absent des plateformes")</f>
        <v>absent des plateformes</v>
      </c>
    </row>
    <row r="521">
      <c r="A521" s="3" t="s">
        <v>643</v>
      </c>
      <c r="B521" s="4" t="str">
        <f>IFERROR(__xludf.DUMMYFUNCTION("REGEXREPLACE(A521, ""^https?://(www\.)?|/.*"", """")"),"ems-avocats.fr")</f>
        <v>ems-avocats.fr</v>
      </c>
      <c r="C521" s="1" t="s">
        <v>8</v>
      </c>
      <c r="D521" s="1">
        <v>1.0</v>
      </c>
      <c r="E521" s="1" t="s">
        <v>407</v>
      </c>
      <c r="F521" s="1" t="s">
        <v>10</v>
      </c>
      <c r="G521" s="5" t="str">
        <f t="array" ref="G521">XLOOKUP(B521,LFinder!A:A,LFinder!B:B,"absent des plateformes")</f>
        <v>absent des plateformes</v>
      </c>
    </row>
    <row r="522">
      <c r="A522" s="3" t="s">
        <v>644</v>
      </c>
      <c r="B522" s="4" t="str">
        <f>IFERROR(__xludf.DUMMYFUNCTION("REGEXREPLACE(A522, ""^https?://(www\.)?|/.*"", """")"),"retraite-patrimoine.fr")</f>
        <v>retraite-patrimoine.fr</v>
      </c>
      <c r="C522" s="1" t="s">
        <v>8</v>
      </c>
      <c r="D522" s="1">
        <v>1.0</v>
      </c>
      <c r="E522" s="1" t="s">
        <v>61</v>
      </c>
      <c r="F522" s="1" t="s">
        <v>10</v>
      </c>
      <c r="G522" s="5" t="str">
        <f t="array" ref="G522">XLOOKUP(B522,LFinder!A:A,LFinder!B:B,"absent des plateformes")</f>
        <v>absent des plateformes</v>
      </c>
    </row>
    <row r="523">
      <c r="A523" s="3" t="s">
        <v>645</v>
      </c>
      <c r="B523" s="4" t="str">
        <f>IFERROR(__xludf.DUMMYFUNCTION("REGEXREPLACE(A523, ""^https?://(www\.)?|/.*"", """")"),"retraite-consulting.fr")</f>
        <v>retraite-consulting.fr</v>
      </c>
      <c r="C523" s="1" t="s">
        <v>8</v>
      </c>
      <c r="D523" s="1">
        <v>1.0</v>
      </c>
      <c r="E523" s="1" t="s">
        <v>61</v>
      </c>
      <c r="F523" s="1" t="s">
        <v>10</v>
      </c>
      <c r="G523" s="5" t="str">
        <f t="array" ref="G523">XLOOKUP(B523,LFinder!A:A,LFinder!B:B,"absent des plateformes")</f>
        <v>absent des plateformes</v>
      </c>
    </row>
    <row r="524">
      <c r="A524" s="3" t="s">
        <v>646</v>
      </c>
      <c r="B524" s="4" t="str">
        <f>IFERROR(__xludf.DUMMYFUNCTION("REGEXREPLACE(A524, ""^https?://(www\.)?|/.*"", """")"),"sapiendo-retraite.fr")</f>
        <v>sapiendo-retraite.fr</v>
      </c>
      <c r="C524" s="1" t="s">
        <v>8</v>
      </c>
      <c r="D524" s="1">
        <v>1.0</v>
      </c>
      <c r="E524" s="1" t="s">
        <v>61</v>
      </c>
      <c r="F524" s="1" t="s">
        <v>10</v>
      </c>
      <c r="G524" s="5" t="str">
        <f t="array" ref="G524">XLOOKUP(B524,LFinder!A:A,LFinder!B:B,"absent des plateformes")</f>
        <v>absent des plateformes</v>
      </c>
    </row>
    <row r="525">
      <c r="A525" s="3" t="s">
        <v>647</v>
      </c>
      <c r="B525" s="4" t="str">
        <f>IFERROR(__xludf.DUMMYFUNCTION("REGEXREPLACE(A525, ""^https?://(www\.)?|/.*"", """")"),"sapiendo-retraite.fr")</f>
        <v>sapiendo-retraite.fr</v>
      </c>
      <c r="C525" s="1" t="s">
        <v>8</v>
      </c>
      <c r="D525" s="1">
        <v>1.0</v>
      </c>
      <c r="E525" s="1" t="s">
        <v>61</v>
      </c>
      <c r="F525" s="1" t="s">
        <v>10</v>
      </c>
      <c r="G525" s="5" t="str">
        <f t="array" ref="G525">XLOOKUP(B525,LFinder!A:A,LFinder!B:B,"absent des plateformes")</f>
        <v>absent des plateformes</v>
      </c>
    </row>
    <row r="526">
      <c r="A526" s="3" t="s">
        <v>648</v>
      </c>
      <c r="B526" s="4" t="str">
        <f>IFERROR(__xludf.DUMMYFUNCTION("REGEXREPLACE(A526, ""^https?://(www\.)?|/.*"", """")"),"sapiendo-retraite.fr")</f>
        <v>sapiendo-retraite.fr</v>
      </c>
      <c r="C526" s="1" t="s">
        <v>8</v>
      </c>
      <c r="D526" s="1">
        <v>1.0</v>
      </c>
      <c r="E526" s="1" t="s">
        <v>61</v>
      </c>
      <c r="F526" s="1" t="s">
        <v>10</v>
      </c>
      <c r="G526" s="5" t="str">
        <f t="array" ref="G526">XLOOKUP(B526,LFinder!A:A,LFinder!B:B,"absent des plateformes")</f>
        <v>absent des plateformes</v>
      </c>
    </row>
    <row r="527">
      <c r="A527" s="3" t="s">
        <v>649</v>
      </c>
      <c r="B527" s="4" t="str">
        <f>IFERROR(__xludf.DUMMYFUNCTION("REGEXREPLACE(A527, ""^https?://(www\.)?|/.*"", """")"),"cabinet-l.fr")</f>
        <v>cabinet-l.fr</v>
      </c>
      <c r="C527" s="1" t="s">
        <v>8</v>
      </c>
      <c r="D527" s="1">
        <v>1.0</v>
      </c>
      <c r="E527" s="1" t="s">
        <v>38</v>
      </c>
      <c r="F527" s="1" t="s">
        <v>10</v>
      </c>
      <c r="G527" s="5" t="str">
        <f t="array" ref="G527">XLOOKUP(B527,LFinder!A:A,LFinder!B:B,"absent des plateformes")</f>
        <v>absent des plateformes</v>
      </c>
    </row>
    <row r="528">
      <c r="A528" s="3" t="s">
        <v>650</v>
      </c>
      <c r="B528" s="4" t="str">
        <f>IFERROR(__xludf.DUMMYFUNCTION("REGEXREPLACE(A528, ""^https?://(www\.)?|/.*"", """")"),"afex-experts-comptables.fr")</f>
        <v>afex-experts-comptables.fr</v>
      </c>
      <c r="C528" s="1" t="s">
        <v>8</v>
      </c>
      <c r="D528" s="1">
        <v>1.0</v>
      </c>
      <c r="E528" s="1" t="s">
        <v>38</v>
      </c>
      <c r="F528" s="1" t="s">
        <v>10</v>
      </c>
      <c r="G528" s="5" t="str">
        <f t="array" ref="G528">XLOOKUP(B528,LFinder!A:A,LFinder!B:B,"absent des plateformes")</f>
        <v>absent des plateformes</v>
      </c>
    </row>
    <row r="529">
      <c r="A529" s="3" t="s">
        <v>651</v>
      </c>
      <c r="B529" s="4" t="str">
        <f>IFERROR(__xludf.DUMMYFUNCTION("REGEXREPLACE(A529, ""^https?://(www\.)?|/.*"", """")"),"aepgestion.fr")</f>
        <v>aepgestion.fr</v>
      </c>
      <c r="C529" s="1" t="s">
        <v>8</v>
      </c>
      <c r="D529" s="1">
        <v>1.0</v>
      </c>
      <c r="E529" s="1" t="s">
        <v>20</v>
      </c>
      <c r="F529" s="1" t="s">
        <v>10</v>
      </c>
      <c r="G529" s="5" t="str">
        <f t="array" ref="G529">XLOOKUP(B529,LFinder!A:A,LFinder!B:B,"absent des plateformes")</f>
        <v>absent des plateformes</v>
      </c>
    </row>
    <row r="530">
      <c r="A530" s="3" t="s">
        <v>652</v>
      </c>
      <c r="B530" s="4" t="str">
        <f>IFERROR(__xludf.DUMMYFUNCTION("REGEXREPLACE(A530, ""^https?://(www\.)?|/.*"", """")"),"orthemis-avocats.com")</f>
        <v>orthemis-avocats.com</v>
      </c>
      <c r="C530" s="1" t="s">
        <v>8</v>
      </c>
      <c r="D530" s="1">
        <v>1.0</v>
      </c>
      <c r="E530" s="1" t="s">
        <v>407</v>
      </c>
      <c r="F530" s="1" t="s">
        <v>10</v>
      </c>
      <c r="G530" s="5" t="str">
        <f t="array" ref="G530">XLOOKUP(B530,LFinder!A:A,LFinder!B:B,"absent des plateformes")</f>
        <v>absent des plateformes</v>
      </c>
    </row>
    <row r="531">
      <c r="A531" s="3" t="s">
        <v>653</v>
      </c>
      <c r="B531" s="4" t="str">
        <f>IFERROR(__xludf.DUMMYFUNCTION("REGEXREPLACE(A531, ""^https?://(www\.)?|/.*"", """")"),"lda-avocat.fr")</f>
        <v>lda-avocat.fr</v>
      </c>
      <c r="C531" s="1" t="s">
        <v>8</v>
      </c>
      <c r="D531" s="1">
        <v>1.0</v>
      </c>
      <c r="E531" s="1" t="s">
        <v>407</v>
      </c>
      <c r="F531" s="1" t="s">
        <v>10</v>
      </c>
      <c r="G531" s="5" t="str">
        <f t="array" ref="G531">XLOOKUP(B531,LFinder!A:A,LFinder!B:B,"absent des plateformes")</f>
        <v>absent des plateformes</v>
      </c>
    </row>
    <row r="532">
      <c r="A532" s="3" t="s">
        <v>654</v>
      </c>
      <c r="B532" s="4" t="str">
        <f>IFERROR(__xludf.DUMMYFUNCTION("REGEXREPLACE(A532, ""^https?://(www\.)?|/.*"", """")"),"burdigala-formations.fr")</f>
        <v>burdigala-formations.fr</v>
      </c>
      <c r="C532" s="1" t="s">
        <v>8</v>
      </c>
      <c r="D532" s="1">
        <v>1.0</v>
      </c>
      <c r="E532" s="1" t="s">
        <v>407</v>
      </c>
      <c r="F532" s="1" t="s">
        <v>10</v>
      </c>
      <c r="G532" s="5" t="str">
        <f t="array" ref="G532">XLOOKUP(B532,LFinder!A:A,LFinder!B:B,"absent des plateformes")</f>
        <v>absent des plateformes</v>
      </c>
    </row>
    <row r="533">
      <c r="A533" s="3" t="s">
        <v>655</v>
      </c>
      <c r="B533" s="4" t="str">
        <f>IFERROR(__xludf.DUMMYFUNCTION("REGEXREPLACE(A533, ""^https?://(www\.)?|/.*"", """")"),"cvs-avocats.com")</f>
        <v>cvs-avocats.com</v>
      </c>
      <c r="C533" s="1" t="s">
        <v>8</v>
      </c>
      <c r="D533" s="1">
        <v>1.0</v>
      </c>
      <c r="E533" s="1" t="s">
        <v>407</v>
      </c>
      <c r="F533" s="1" t="s">
        <v>10</v>
      </c>
      <c r="G533" s="5" t="str">
        <f t="array" ref="G533">XLOOKUP(B533,LFinder!A:A,LFinder!B:B,"absent des plateformes")</f>
        <v>absent des plateformes</v>
      </c>
    </row>
    <row r="534">
      <c r="A534" s="3" t="s">
        <v>656</v>
      </c>
      <c r="B534" s="4" t="str">
        <f>IFERROR(__xludf.DUMMYFUNCTION("REGEXREPLACE(A534, ""^https?://(www\.)?|/.*"", """")"),"gm-avocats.pro")</f>
        <v>gm-avocats.pro</v>
      </c>
      <c r="C534" s="1" t="s">
        <v>8</v>
      </c>
      <c r="D534" s="1">
        <v>1.0</v>
      </c>
      <c r="E534" s="1" t="s">
        <v>407</v>
      </c>
      <c r="F534" s="1" t="s">
        <v>10</v>
      </c>
      <c r="G534" s="5" t="str">
        <f t="array" ref="G534">XLOOKUP(B534,LFinder!A:A,LFinder!B:B,"absent des plateformes")</f>
        <v>absent des plateformes</v>
      </c>
    </row>
    <row r="535">
      <c r="A535" s="3" t="s">
        <v>657</v>
      </c>
      <c r="B535" s="4" t="str">
        <f>IFERROR(__xludf.DUMMYFUNCTION("REGEXREPLACE(A535, ""^https?://(www\.)?|/.*"", """")"),"mandms.fr")</f>
        <v>mandms.fr</v>
      </c>
      <c r="C535" s="1" t="s">
        <v>8</v>
      </c>
      <c r="D535" s="1">
        <v>1.0</v>
      </c>
      <c r="E535" s="1" t="s">
        <v>407</v>
      </c>
      <c r="F535" s="1" t="s">
        <v>10</v>
      </c>
      <c r="G535" s="5" t="str">
        <f t="array" ref="G535">XLOOKUP(B535,LFinder!A:A,LFinder!B:B,"absent des plateformes")</f>
        <v>absent des plateformes</v>
      </c>
    </row>
    <row r="536">
      <c r="A536" s="3" t="s">
        <v>658</v>
      </c>
      <c r="B536" s="4" t="str">
        <f>IFERROR(__xludf.DUMMYFUNCTION("REGEXREPLACE(A536, ""^https?://(www\.)?|/.*"", """")"),"silviadiazavocat.com")</f>
        <v>silviadiazavocat.com</v>
      </c>
      <c r="C536" s="1" t="s">
        <v>8</v>
      </c>
      <c r="D536" s="1">
        <v>1.0</v>
      </c>
      <c r="E536" s="1" t="s">
        <v>407</v>
      </c>
      <c r="F536" s="1" t="s">
        <v>10</v>
      </c>
      <c r="G536" s="5" t="str">
        <f t="array" ref="G536">XLOOKUP(B536,LFinder!A:A,LFinder!B:B,"absent des plateformes")</f>
        <v>absent des plateformes</v>
      </c>
    </row>
    <row r="537">
      <c r="A537" s="3" t="s">
        <v>659</v>
      </c>
      <c r="B537" s="4" t="str">
        <f>IFERROR(__xludf.DUMMYFUNCTION("REGEXREPLACE(A537, ""^https?://(www\.)?|/.*"", """")"),"cabineteleos.fr")</f>
        <v>cabineteleos.fr</v>
      </c>
      <c r="C537" s="1" t="s">
        <v>8</v>
      </c>
      <c r="D537" s="1">
        <v>1.0</v>
      </c>
      <c r="E537" s="1" t="s">
        <v>407</v>
      </c>
      <c r="F537" s="1" t="s">
        <v>10</v>
      </c>
      <c r="G537" s="5" t="str">
        <f t="array" ref="G537">XLOOKUP(B537,LFinder!A:A,LFinder!B:B,"absent des plateformes")</f>
        <v>absent des plateformes</v>
      </c>
    </row>
    <row r="538">
      <c r="A538" s="3" t="s">
        <v>660</v>
      </c>
      <c r="B538" s="4" t="str">
        <f>IFERROR(__xludf.DUMMYFUNCTION("REGEXREPLACE(A538, ""^https?://(www\.)?|/.*"", """")"),"s2d-avocat.fr")</f>
        <v>s2d-avocat.fr</v>
      </c>
      <c r="C538" s="1" t="s">
        <v>8</v>
      </c>
      <c r="D538" s="1">
        <v>1.0</v>
      </c>
      <c r="E538" s="1" t="s">
        <v>407</v>
      </c>
      <c r="F538" s="1" t="s">
        <v>10</v>
      </c>
      <c r="G538" s="5" t="str">
        <f t="array" ref="G538">XLOOKUP(B538,LFinder!A:A,LFinder!B:B,"absent des plateformes")</f>
        <v>absent des plateformes</v>
      </c>
    </row>
    <row r="539">
      <c r="A539" s="3" t="s">
        <v>661</v>
      </c>
      <c r="B539" s="4" t="str">
        <f>IFERROR(__xludf.DUMMYFUNCTION("REGEXREPLACE(A539, ""^https?://(www\.)?|/.*"", """")"),"sofia-avocats.fr")</f>
        <v>sofia-avocats.fr</v>
      </c>
      <c r="C539" s="1" t="s">
        <v>8</v>
      </c>
      <c r="D539" s="1">
        <v>1.0</v>
      </c>
      <c r="E539" s="1" t="s">
        <v>407</v>
      </c>
      <c r="F539" s="1" t="s">
        <v>10</v>
      </c>
      <c r="G539" s="5" t="str">
        <f t="array" ref="G539">XLOOKUP(B539,LFinder!A:A,LFinder!B:B,"absent des plateformes")</f>
        <v>absent des plateformes</v>
      </c>
    </row>
    <row r="540">
      <c r="A540" s="3" t="s">
        <v>662</v>
      </c>
      <c r="B540" s="4" t="str">
        <f>IFERROR(__xludf.DUMMYFUNCTION("REGEXREPLACE(A540, ""^https?://(www\.)?|/.*"", """")"),"lesturgeoncayla-avocat.fr")</f>
        <v>lesturgeoncayla-avocat.fr</v>
      </c>
      <c r="C540" s="1" t="s">
        <v>8</v>
      </c>
      <c r="D540" s="1">
        <v>1.0</v>
      </c>
      <c r="E540" s="1" t="s">
        <v>407</v>
      </c>
      <c r="F540" s="1" t="s">
        <v>10</v>
      </c>
      <c r="G540" s="5" t="str">
        <f t="array" ref="G540">XLOOKUP(B540,LFinder!A:A,LFinder!B:B,"absent des plateformes")</f>
        <v>absent des plateformes</v>
      </c>
    </row>
    <row r="541">
      <c r="A541" s="3" t="s">
        <v>663</v>
      </c>
      <c r="B541" s="4" t="str">
        <f>IFERROR(__xludf.DUMMYFUNCTION("REGEXREPLACE(A541, ""^https?://(www\.)?|/.*"", """")"),"lesturgeoncayla-avocat.fr")</f>
        <v>lesturgeoncayla-avocat.fr</v>
      </c>
      <c r="C541" s="1" t="s">
        <v>8</v>
      </c>
      <c r="D541" s="1">
        <v>1.0</v>
      </c>
      <c r="E541" s="1" t="s">
        <v>407</v>
      </c>
      <c r="F541" s="1" t="s">
        <v>10</v>
      </c>
      <c r="G541" s="5" t="str">
        <f t="array" ref="G541">XLOOKUP(B541,LFinder!A:A,LFinder!B:B,"absent des plateformes")</f>
        <v>absent des plateformes</v>
      </c>
    </row>
    <row r="542">
      <c r="A542" s="3" t="s">
        <v>664</v>
      </c>
      <c r="B542" s="4" t="str">
        <f>IFERROR(__xludf.DUMMYFUNCTION("REGEXREPLACE(A542, ""^https?://(www\.)?|/.*"", """")"),"servicesalapersonne.gouv.fr")</f>
        <v>servicesalapersonne.gouv.fr</v>
      </c>
      <c r="C542" s="1" t="s">
        <v>8</v>
      </c>
      <c r="D542" s="1">
        <v>1.0</v>
      </c>
      <c r="E542" s="1" t="s">
        <v>316</v>
      </c>
      <c r="F542" s="1" t="s">
        <v>10</v>
      </c>
      <c r="G542" s="5" t="str">
        <f t="array" ref="G542">XLOOKUP(B542,LFinder!A:A,LFinder!B:B,"absent des plateformes")</f>
        <v>absent des plateformes</v>
      </c>
    </row>
    <row r="543">
      <c r="A543" s="3" t="s">
        <v>665</v>
      </c>
      <c r="B543" s="4" t="str">
        <f>IFERROR(__xludf.DUMMYFUNCTION("REGEXREPLACE(A543, ""^https?://(www\.)?|/.*"", """")"),"bpifrance-creation.fr")</f>
        <v>bpifrance-creation.fr</v>
      </c>
      <c r="C543" s="1" t="s">
        <v>8</v>
      </c>
      <c r="D543" s="1">
        <v>1.0</v>
      </c>
      <c r="E543" s="1" t="s">
        <v>316</v>
      </c>
      <c r="F543" s="1" t="s">
        <v>10</v>
      </c>
      <c r="G543" s="5" t="str">
        <f t="array" ref="G543">XLOOKUP(B543,LFinder!A:A,LFinder!B:B,"absent des plateformes")</f>
        <v>absent des plateformes</v>
      </c>
    </row>
    <row r="544">
      <c r="A544" s="3" t="s">
        <v>666</v>
      </c>
      <c r="B544" s="4" t="str">
        <f>IFERROR(__xludf.DUMMYFUNCTION("REGEXREPLACE(A544, ""^https?://(www\.)?|/.*"", """")"),"bpifrance-creation.fr")</f>
        <v>bpifrance-creation.fr</v>
      </c>
      <c r="C544" s="1" t="s">
        <v>8</v>
      </c>
      <c r="D544" s="1">
        <v>1.0</v>
      </c>
      <c r="E544" s="1" t="s">
        <v>316</v>
      </c>
      <c r="F544" s="1" t="s">
        <v>10</v>
      </c>
      <c r="G544" s="5" t="str">
        <f t="array" ref="G544">XLOOKUP(B544,LFinder!A:A,LFinder!B:B,"absent des plateformes")</f>
        <v>absent des plateformes</v>
      </c>
    </row>
    <row r="545">
      <c r="A545" s="3" t="s">
        <v>667</v>
      </c>
      <c r="B545" s="4" t="str">
        <f>IFERROR(__xludf.DUMMYFUNCTION("REGEXREPLACE(A545, ""^https?://(www\.)?|/.*"", """")"),"bpifrance-creation.fr")</f>
        <v>bpifrance-creation.fr</v>
      </c>
      <c r="C545" s="1" t="s">
        <v>8</v>
      </c>
      <c r="D545" s="1">
        <v>1.0</v>
      </c>
      <c r="E545" s="1" t="s">
        <v>316</v>
      </c>
      <c r="F545" s="1" t="s">
        <v>10</v>
      </c>
      <c r="G545" s="5" t="str">
        <f t="array" ref="G545">XLOOKUP(B545,LFinder!A:A,LFinder!B:B,"absent des plateformes")</f>
        <v>absent des plateformes</v>
      </c>
    </row>
    <row r="546">
      <c r="A546" s="3" t="s">
        <v>668</v>
      </c>
      <c r="B546" s="4" t="str">
        <f>IFERROR(__xludf.DUMMYFUNCTION("REGEXREPLACE(A546, ""^https?://(www\.)?|/.*"", """")"),"cci.fr")</f>
        <v>cci.fr</v>
      </c>
      <c r="C546" s="1" t="s">
        <v>8</v>
      </c>
      <c r="D546" s="1">
        <v>1.0</v>
      </c>
      <c r="E546" s="1" t="s">
        <v>325</v>
      </c>
      <c r="F546" s="1" t="s">
        <v>10</v>
      </c>
      <c r="G546" s="5" t="str">
        <f t="array" ref="G546">XLOOKUP(B546,LFinder!A:A,LFinder!B:B,"absent des plateformes")</f>
        <v>absent des plateformes</v>
      </c>
    </row>
    <row r="547">
      <c r="A547" s="3" t="s">
        <v>669</v>
      </c>
      <c r="B547" s="4" t="str">
        <f>IFERROR(__xludf.DUMMYFUNCTION("REGEXREPLACE(A547, ""^https?://(www\.)?|/.*"", """")"),"cci.fr")</f>
        <v>cci.fr</v>
      </c>
      <c r="C547" s="1" t="s">
        <v>8</v>
      </c>
      <c r="D547" s="1">
        <v>1.0</v>
      </c>
      <c r="E547" s="1" t="s">
        <v>316</v>
      </c>
      <c r="F547" s="1" t="s">
        <v>10</v>
      </c>
      <c r="G547" s="5" t="str">
        <f t="array" ref="G547">XLOOKUP(B547,LFinder!A:A,LFinder!B:B,"absent des plateformes")</f>
        <v>absent des plateformes</v>
      </c>
    </row>
    <row r="548">
      <c r="A548" s="3" t="s">
        <v>670</v>
      </c>
      <c r="B548" s="4" t="str">
        <f>IFERROR(__xludf.DUMMYFUNCTION("REGEXREPLACE(A548, ""^https?://(www\.)?|/.*"", """")"),"francetravail.fr")</f>
        <v>francetravail.fr</v>
      </c>
      <c r="C548" s="1" t="s">
        <v>8</v>
      </c>
      <c r="D548" s="1">
        <v>1.0</v>
      </c>
      <c r="E548" s="1" t="s">
        <v>316</v>
      </c>
      <c r="F548" s="1" t="s">
        <v>10</v>
      </c>
      <c r="G548" s="5" t="str">
        <f t="array" ref="G548">XLOOKUP(B548,LFinder!A:A,LFinder!B:B,"absent des plateformes")</f>
        <v>absent des plateformes</v>
      </c>
    </row>
    <row r="549">
      <c r="A549" s="3" t="s">
        <v>671</v>
      </c>
      <c r="B549" s="4" t="str">
        <f>IFERROR(__xludf.DUMMYFUNCTION("REGEXREPLACE(A549, ""^https?://(www\.)?|/.*"", """")"),"reseau-entreprendre.org")</f>
        <v>reseau-entreprendre.org</v>
      </c>
      <c r="C549" s="1" t="s">
        <v>8</v>
      </c>
      <c r="D549" s="1">
        <v>1.0</v>
      </c>
      <c r="E549" s="1" t="s">
        <v>316</v>
      </c>
      <c r="F549" s="1" t="s">
        <v>10</v>
      </c>
      <c r="G549" s="5" t="str">
        <f t="array" ref="G549">XLOOKUP(B549,LFinder!A:A,LFinder!B:B,"absent des plateformes")</f>
        <v>absent des plateformes</v>
      </c>
    </row>
    <row r="550">
      <c r="A550" s="3" t="s">
        <v>672</v>
      </c>
      <c r="B550" s="4" t="str">
        <f>IFERROR(__xludf.DUMMYFUNCTION("REGEXREPLACE(A550, ""^https?://(www\.)?|/.*"", """")"),"comparatif-compta.fr")</f>
        <v>comparatif-compta.fr</v>
      </c>
      <c r="C550" s="1" t="s">
        <v>8</v>
      </c>
      <c r="D550" s="1">
        <v>1.0</v>
      </c>
      <c r="E550" s="1" t="s">
        <v>47</v>
      </c>
      <c r="F550" s="1" t="s">
        <v>10</v>
      </c>
      <c r="G550" s="5" t="str">
        <f t="array" ref="G550">XLOOKUP(B550,LFinder!A:A,LFinder!B:B,"absent des plateformes")</f>
        <v>absent des plateformes</v>
      </c>
    </row>
    <row r="551">
      <c r="A551" s="3" t="s">
        <v>673</v>
      </c>
      <c r="B551" s="4" t="str">
        <f>IFERROR(__xludf.DUMMYFUNCTION("REGEXREPLACE(A551, ""^https?://(www\.)?|/.*"", """")"),"ncavocat.com")</f>
        <v>ncavocat.com</v>
      </c>
      <c r="C551" s="1" t="s">
        <v>8</v>
      </c>
      <c r="D551" s="1">
        <v>1.0</v>
      </c>
      <c r="E551" s="1" t="s">
        <v>407</v>
      </c>
      <c r="F551" s="1" t="s">
        <v>10</v>
      </c>
      <c r="G551" s="5" t="str">
        <f t="array" ref="G551">XLOOKUP(B551,LFinder!A:A,LFinder!B:B,"absent des plateformes")</f>
        <v>absent des plateformes</v>
      </c>
    </row>
    <row r="552">
      <c r="A552" s="3" t="s">
        <v>674</v>
      </c>
      <c r="B552" s="4" t="str">
        <f>IFERROR(__xludf.DUMMYFUNCTION("REGEXREPLACE(A552, ""^https?://(www\.)?|/.*"", """")"),"inextenso-avocats.com")</f>
        <v>inextenso-avocats.com</v>
      </c>
      <c r="C552" s="1" t="s">
        <v>8</v>
      </c>
      <c r="D552" s="1">
        <v>1.0</v>
      </c>
      <c r="E552" s="1" t="s">
        <v>407</v>
      </c>
      <c r="F552" s="1" t="s">
        <v>10</v>
      </c>
      <c r="G552" s="5" t="str">
        <f t="array" ref="G552">XLOOKUP(B552,LFinder!A:A,LFinder!B:B,"absent des plateformes")</f>
        <v>absent des plateformes</v>
      </c>
    </row>
    <row r="553">
      <c r="A553" s="3" t="s">
        <v>675</v>
      </c>
      <c r="B553" s="4" t="str">
        <f>IFERROR(__xludf.DUMMYFUNCTION("REGEXREPLACE(A553, ""^https?://(www\.)?|/.*"", """")"),"rhconseil-pme.fr")</f>
        <v>rhconseil-pme.fr</v>
      </c>
      <c r="C553" s="1" t="s">
        <v>8</v>
      </c>
      <c r="D553" s="1">
        <v>1.0</v>
      </c>
      <c r="E553" s="1" t="s">
        <v>407</v>
      </c>
      <c r="F553" s="1" t="s">
        <v>10</v>
      </c>
      <c r="G553" s="5" t="str">
        <f t="array" ref="G553">XLOOKUP(B553,LFinder!A:A,LFinder!B:B,"absent des plateformes")</f>
        <v>absent des plateformes</v>
      </c>
    </row>
    <row r="554">
      <c r="A554" s="3" t="s">
        <v>676</v>
      </c>
      <c r="B554" s="4" t="str">
        <f>IFERROR(__xludf.DUMMYFUNCTION("REGEXREPLACE(A554, ""^https?://(www\.)?|/.*"", """")"),"cnb.avocat.fr")</f>
        <v>cnb.avocat.fr</v>
      </c>
      <c r="C554" s="1" t="s">
        <v>8</v>
      </c>
      <c r="D554" s="1">
        <v>1.0</v>
      </c>
      <c r="E554" s="1" t="s">
        <v>407</v>
      </c>
      <c r="F554" s="1" t="s">
        <v>10</v>
      </c>
      <c r="G554" s="5" t="str">
        <f t="array" ref="G554">XLOOKUP(B554,LFinder!A:A,LFinder!B:B,"absent des plateformes")</f>
        <v>absent des plateformes</v>
      </c>
    </row>
    <row r="555">
      <c r="A555" s="3" t="s">
        <v>677</v>
      </c>
      <c r="B555" s="4" t="str">
        <f>IFERROR(__xludf.DUMMYFUNCTION("REGEXREPLACE(A555, ""^https?://(www\.)?|/.*"", """")"),"b2l-avocats.fr")</f>
        <v>b2l-avocats.fr</v>
      </c>
      <c r="C555" s="1" t="s">
        <v>8</v>
      </c>
      <c r="D555" s="1">
        <v>1.0</v>
      </c>
      <c r="E555" s="1" t="s">
        <v>407</v>
      </c>
      <c r="F555" s="1" t="s">
        <v>10</v>
      </c>
      <c r="G555" s="5" t="str">
        <f t="array" ref="G555">XLOOKUP(B555,LFinder!A:A,LFinder!B:B,"absent des plateformes")</f>
        <v>absent des plateformes</v>
      </c>
    </row>
    <row r="556">
      <c r="A556" s="3" t="s">
        <v>678</v>
      </c>
      <c r="B556" s="4" t="str">
        <f>IFERROR(__xludf.DUMMYFUNCTION("REGEXREPLACE(A556, ""^https?://(www\.)?|/.*"", """")"),"josse-avocat.com")</f>
        <v>josse-avocat.com</v>
      </c>
      <c r="C556" s="1" t="s">
        <v>8</v>
      </c>
      <c r="D556" s="1">
        <v>1.0</v>
      </c>
      <c r="E556" s="1" t="s">
        <v>407</v>
      </c>
      <c r="F556" s="1" t="s">
        <v>10</v>
      </c>
      <c r="G556" s="5" t="str">
        <f t="array" ref="G556">XLOOKUP(B556,LFinder!A:A,LFinder!B:B,"absent des plateformes")</f>
        <v>absent des plateformes</v>
      </c>
    </row>
    <row r="557">
      <c r="A557" s="3" t="s">
        <v>679</v>
      </c>
      <c r="B557" s="4" t="str">
        <f>IFERROR(__xludf.DUMMYFUNCTION("REGEXREPLACE(A557, ""^https?://(www\.)?|/.*"", """")"),"delcade.fr")</f>
        <v>delcade.fr</v>
      </c>
      <c r="C557" s="1" t="s">
        <v>8</v>
      </c>
      <c r="D557" s="1">
        <v>1.0</v>
      </c>
      <c r="E557" s="1" t="s">
        <v>407</v>
      </c>
      <c r="F557" s="1" t="s">
        <v>10</v>
      </c>
      <c r="G557" s="5" t="str">
        <f t="array" ref="G557">XLOOKUP(B557,LFinder!A:A,LFinder!B:B,"absent des plateformes")</f>
        <v>absent des plateformes</v>
      </c>
    </row>
    <row r="558">
      <c r="A558" s="3" t="s">
        <v>680</v>
      </c>
      <c r="B558" s="4" t="str">
        <f>IFERROR(__xludf.DUMMYFUNCTION("REGEXREPLACE(A558, ""^https?://(www\.)?|/.*"", """")"),"entreprises.cci-paris-idf.fr")</f>
        <v>entreprises.cci-paris-idf.fr</v>
      </c>
      <c r="C558" s="1" t="s">
        <v>8</v>
      </c>
      <c r="D558" s="1">
        <v>1.0</v>
      </c>
      <c r="E558" s="1" t="s">
        <v>407</v>
      </c>
      <c r="F558" s="1" t="s">
        <v>10</v>
      </c>
      <c r="G558" s="5" t="str">
        <f t="array" ref="G558">XLOOKUP(B558,LFinder!A:A,LFinder!B:B,"absent des plateformes")</f>
        <v>absent des plateformes</v>
      </c>
    </row>
    <row r="559">
      <c r="A559" s="3" t="s">
        <v>681</v>
      </c>
      <c r="B559" s="4" t="str">
        <f>IFERROR(__xludf.DUMMYFUNCTION("REGEXREPLACE(A559, ""^https?://(www\.)?|/.*"", """")"),"slbt.fr")</f>
        <v>slbt.fr</v>
      </c>
      <c r="C559" s="1" t="s">
        <v>8</v>
      </c>
      <c r="D559" s="1">
        <v>1.0</v>
      </c>
      <c r="E559" s="1" t="s">
        <v>407</v>
      </c>
      <c r="F559" s="1" t="s">
        <v>10</v>
      </c>
      <c r="G559" s="5" t="str">
        <f t="array" ref="G559">XLOOKUP(B559,LFinder!A:A,LFinder!B:B,"absent des plateformes")</f>
        <v>absent des plateformes</v>
      </c>
    </row>
    <row r="560">
      <c r="A560" s="3" t="s">
        <v>682</v>
      </c>
      <c r="B560" s="4" t="str">
        <f>IFERROR(__xludf.DUMMYFUNCTION("REGEXREPLACE(A560, ""^https?://(www\.)?|/.*"", """")"),"agnesbardel.fr")</f>
        <v>agnesbardel.fr</v>
      </c>
      <c r="C560" s="1" t="s">
        <v>8</v>
      </c>
      <c r="D560" s="1">
        <v>1.0</v>
      </c>
      <c r="E560" s="1" t="s">
        <v>407</v>
      </c>
      <c r="F560" s="1" t="s">
        <v>10</v>
      </c>
      <c r="G560" s="5" t="str">
        <f t="array" ref="G560">XLOOKUP(B560,LFinder!A:A,LFinder!B:B,"absent des plateformes")</f>
        <v>absent des plateformes</v>
      </c>
    </row>
    <row r="561">
      <c r="A561" s="3" t="s">
        <v>683</v>
      </c>
      <c r="B561" s="4" t="str">
        <f>IFERROR(__xludf.DUMMYFUNCTION("REGEXREPLACE(A561, ""^https?://(www\.)?|/.*"", """")"),"bloiseavocats.com")</f>
        <v>bloiseavocats.com</v>
      </c>
      <c r="C561" s="1" t="s">
        <v>8</v>
      </c>
      <c r="D561" s="1">
        <v>1.0</v>
      </c>
      <c r="E561" s="1" t="s">
        <v>407</v>
      </c>
      <c r="F561" s="1" t="s">
        <v>10</v>
      </c>
      <c r="G561" s="5" t="str">
        <f t="array" ref="G561">XLOOKUP(B561,LFinder!A:A,LFinder!B:B,"absent des plateformes")</f>
        <v>absent des plateformes</v>
      </c>
    </row>
    <row r="562">
      <c r="A562" s="3" t="s">
        <v>684</v>
      </c>
      <c r="B562" s="4" t="str">
        <f>IFERROR(__xludf.DUMMYFUNCTION("REGEXREPLACE(A562, ""^https?://(www\.)?|/.*"", """")"),"aloy-avocats.fr")</f>
        <v>aloy-avocats.fr</v>
      </c>
      <c r="C562" s="1" t="s">
        <v>8</v>
      </c>
      <c r="D562" s="1">
        <v>1.0</v>
      </c>
      <c r="E562" s="1" t="s">
        <v>407</v>
      </c>
      <c r="F562" s="1" t="s">
        <v>10</v>
      </c>
      <c r="G562" s="5" t="str">
        <f t="array" ref="G562">XLOOKUP(B562,LFinder!A:A,LFinder!B:B,"absent des plateformes")</f>
        <v>absent des plateformes</v>
      </c>
    </row>
    <row r="563">
      <c r="A563" s="3" t="s">
        <v>685</v>
      </c>
      <c r="B563" s="4" t="str">
        <f>IFERROR(__xludf.DUMMYFUNCTION("REGEXREPLACE(A563, ""^https?://(www\.)?|/.*"", """")"),"creditmutuel.fr")</f>
        <v>creditmutuel.fr</v>
      </c>
      <c r="C563" s="1" t="s">
        <v>8</v>
      </c>
      <c r="D563" s="1">
        <v>1.0</v>
      </c>
      <c r="E563" s="1" t="s">
        <v>129</v>
      </c>
      <c r="F563" s="1" t="s">
        <v>10</v>
      </c>
      <c r="G563" s="5" t="str">
        <f t="array" ref="G563">XLOOKUP(B563,LFinder!A:A,LFinder!B:B,"absent des plateformes")</f>
        <v>absent des plateformes</v>
      </c>
    </row>
    <row r="564">
      <c r="A564" s="3" t="s">
        <v>686</v>
      </c>
      <c r="B564" s="4" t="str">
        <f>IFERROR(__xludf.DUMMYFUNCTION("REGEXREPLACE(A564, ""^https?://(www\.)?|/.*"", """")"),"pro.engie.fr")</f>
        <v>pro.engie.fr</v>
      </c>
      <c r="C564" s="1" t="s">
        <v>8</v>
      </c>
      <c r="D564" s="1">
        <v>1.0</v>
      </c>
      <c r="E564" s="1" t="s">
        <v>129</v>
      </c>
      <c r="F564" s="1" t="s">
        <v>10</v>
      </c>
      <c r="G564" s="5" t="str">
        <f t="array" ref="G564">XLOOKUP(B564,LFinder!A:A,LFinder!B:B,"absent des plateformes")</f>
        <v>absent des plateformes</v>
      </c>
    </row>
    <row r="565">
      <c r="A565" s="3" t="s">
        <v>687</v>
      </c>
      <c r="B565" s="4" t="str">
        <f>IFERROR(__xludf.DUMMYFUNCTION("REGEXREPLACE(A565, ""^https?://(www\.)?|/.*"", """")"),"pricebank.fr")</f>
        <v>pricebank.fr</v>
      </c>
      <c r="C565" s="1" t="s">
        <v>8</v>
      </c>
      <c r="D565" s="1">
        <v>1.0</v>
      </c>
      <c r="E565" s="1" t="s">
        <v>14</v>
      </c>
      <c r="F565" s="1" t="s">
        <v>54</v>
      </c>
      <c r="G565" s="5" t="str">
        <f t="array" ref="G565">XLOOKUP(B565,LFinder!A:A,LFinder!B:B,"absent des plateformes")</f>
        <v>absent des plateformes</v>
      </c>
    </row>
    <row r="566">
      <c r="A566" s="3" t="s">
        <v>688</v>
      </c>
      <c r="B566" s="4" t="str">
        <f>IFERROR(__xludf.DUMMYFUNCTION("REGEXREPLACE(A566, ""^https?://(www\.)?|/.*"", """")"),"pricebank.fr")</f>
        <v>pricebank.fr</v>
      </c>
      <c r="C566" s="1" t="s">
        <v>8</v>
      </c>
      <c r="D566" s="1">
        <v>1.0</v>
      </c>
      <c r="E566" s="1" t="s">
        <v>129</v>
      </c>
      <c r="F566" s="1" t="s">
        <v>54</v>
      </c>
      <c r="G566" s="5" t="str">
        <f t="array" ref="G566">XLOOKUP(B566,LFinder!A:A,LFinder!B:B,"absent des plateformes")</f>
        <v>absent des plateformes</v>
      </c>
    </row>
    <row r="567">
      <c r="A567" s="3" t="s">
        <v>689</v>
      </c>
      <c r="B567" s="4" t="str">
        <f>IFERROR(__xludf.DUMMYFUNCTION("REGEXREPLACE(A567, ""^https?://(www\.)?|/.*"", """")"),"justice.fr")</f>
        <v>justice.fr</v>
      </c>
      <c r="C567" s="1" t="s">
        <v>8</v>
      </c>
      <c r="D567" s="1">
        <v>1.0</v>
      </c>
      <c r="E567" s="1" t="s">
        <v>316</v>
      </c>
      <c r="F567" s="1" t="s">
        <v>10</v>
      </c>
      <c r="G567" s="5" t="str">
        <f t="array" ref="G567">XLOOKUP(B567,LFinder!A:A,LFinder!B:B,"absent des plateformes")</f>
        <v>absent des plateformes</v>
      </c>
    </row>
    <row r="568">
      <c r="A568" s="3" t="s">
        <v>690</v>
      </c>
      <c r="B568" s="4" t="str">
        <f>IFERROR(__xludf.DUMMYFUNCTION("REGEXREPLACE(A568, ""^https?://(www\.)?|/.*"", """")"),"justice.fr")</f>
        <v>justice.fr</v>
      </c>
      <c r="C568" s="1" t="s">
        <v>8</v>
      </c>
      <c r="D568" s="1">
        <v>1.0</v>
      </c>
      <c r="E568" s="1" t="s">
        <v>129</v>
      </c>
      <c r="F568" s="1" t="s">
        <v>10</v>
      </c>
      <c r="G568" s="5" t="str">
        <f t="array" ref="G568">XLOOKUP(B568,LFinder!A:A,LFinder!B:B,"absent des plateformes")</f>
        <v>absent des plateformes</v>
      </c>
    </row>
    <row r="569">
      <c r="A569" s="3" t="s">
        <v>691</v>
      </c>
      <c r="B569" s="4" t="str">
        <f>IFERROR(__xludf.DUMMYFUNCTION("REGEXREPLACE(A569, ""^https?://(www\.)?|/.*"", """")"),"justice.fr")</f>
        <v>justice.fr</v>
      </c>
      <c r="C569" s="1" t="s">
        <v>8</v>
      </c>
      <c r="D569" s="1">
        <v>1.0</v>
      </c>
      <c r="E569" s="1" t="s">
        <v>129</v>
      </c>
      <c r="F569" s="1" t="s">
        <v>10</v>
      </c>
      <c r="G569" s="5" t="str">
        <f t="array" ref="G569">XLOOKUP(B569,LFinder!A:A,LFinder!B:B,"absent des plateformes")</f>
        <v>absent des plateformes</v>
      </c>
    </row>
    <row r="570">
      <c r="A570" s="3" t="s">
        <v>692</v>
      </c>
      <c r="B570" s="4" t="str">
        <f>IFERROR(__xludf.DUMMYFUNCTION("REGEXREPLACE(A570, ""^https?://(www\.)?|/.*"", """")"),"banque-france.fr")</f>
        <v>banque-france.fr</v>
      </c>
      <c r="C570" s="1" t="s">
        <v>8</v>
      </c>
      <c r="D570" s="1">
        <v>1.0</v>
      </c>
      <c r="E570" s="1" t="s">
        <v>129</v>
      </c>
      <c r="F570" s="1" t="s">
        <v>10</v>
      </c>
      <c r="G570" s="5" t="str">
        <f t="array" ref="G570">XLOOKUP(B570,LFinder!A:A,LFinder!B:B,"absent des plateformes")</f>
        <v>absent des plateformes</v>
      </c>
    </row>
    <row r="571">
      <c r="A571" s="3" t="s">
        <v>693</v>
      </c>
      <c r="B571" s="4" t="str">
        <f>IFERROR(__xludf.DUMMYFUNCTION("REGEXREPLACE(A571, ""^https?://(www\.)?|/.*"", """")"),"service-public.gouv.fr")</f>
        <v>service-public.gouv.fr</v>
      </c>
      <c r="C571" s="1" t="s">
        <v>8</v>
      </c>
      <c r="D571" s="1">
        <v>1.0</v>
      </c>
      <c r="E571" s="1" t="s">
        <v>129</v>
      </c>
      <c r="F571" s="1" t="s">
        <v>10</v>
      </c>
      <c r="G571" s="5" t="str">
        <f t="array" ref="G571">XLOOKUP(B571,LFinder!A:A,LFinder!B:B,"absent des plateformes")</f>
        <v>absent des plateformes</v>
      </c>
    </row>
    <row r="572">
      <c r="A572" s="3" t="s">
        <v>694</v>
      </c>
      <c r="B572" s="4" t="str">
        <f>IFERROR(__xludf.DUMMYFUNCTION("REGEXREPLACE(A572, ""^https?://(www\.)?|/.*"", """")"),"cic.fr")</f>
        <v>cic.fr</v>
      </c>
      <c r="C572" s="1" t="s">
        <v>8</v>
      </c>
      <c r="D572" s="1">
        <v>1.0</v>
      </c>
      <c r="E572" s="1" t="s">
        <v>82</v>
      </c>
      <c r="F572" s="1" t="s">
        <v>10</v>
      </c>
      <c r="G572" s="5" t="str">
        <f t="array" ref="G572">XLOOKUP(B572,LFinder!A:A,LFinder!B:B,"absent des plateformes")</f>
        <v>absent des plateformes</v>
      </c>
    </row>
    <row r="573">
      <c r="A573" s="3" t="s">
        <v>695</v>
      </c>
      <c r="B573" s="4" t="str">
        <f>IFERROR(__xludf.DUMMYFUNCTION("REGEXREPLACE(A573, ""^https?://(www\.)?|/.*"", """")"),"cic.fr")</f>
        <v>cic.fr</v>
      </c>
      <c r="C573" s="1" t="s">
        <v>8</v>
      </c>
      <c r="D573" s="1">
        <v>1.0</v>
      </c>
      <c r="E573" s="1" t="s">
        <v>129</v>
      </c>
      <c r="F573" s="1" t="s">
        <v>10</v>
      </c>
      <c r="G573" s="5" t="str">
        <f t="array" ref="G573">XLOOKUP(B573,LFinder!A:A,LFinder!B:B,"absent des plateformes")</f>
        <v>absent des plateformes</v>
      </c>
    </row>
    <row r="574">
      <c r="A574" s="3" t="s">
        <v>696</v>
      </c>
      <c r="B574" s="4" t="str">
        <f>IFERROR(__xludf.DUMMYFUNCTION("REGEXREPLACE(A574, ""^https?://(www\.)?|/.*"", """")"),"immobilier-danger.com")</f>
        <v>immobilier-danger.com</v>
      </c>
      <c r="C574" s="1" t="s">
        <v>50</v>
      </c>
      <c r="D574" s="1">
        <v>1.0</v>
      </c>
      <c r="E574" s="1" t="s">
        <v>51</v>
      </c>
      <c r="F574" s="1" t="s">
        <v>10</v>
      </c>
      <c r="G574" s="5" t="str">
        <f t="array" ref="G574">XLOOKUP(B574,LFinder!A:A,LFinder!B:B,"absent des plateformes")</f>
        <v>absent des plateformes</v>
      </c>
    </row>
    <row r="575">
      <c r="A575" s="3" t="s">
        <v>697</v>
      </c>
      <c r="B575" s="4" t="str">
        <f>IFERROR(__xludf.DUMMYFUNCTION("REGEXREPLACE(A575, ""^https?://(www\.)?|/.*"", """")"),"100jourspourentreprendre.fr")</f>
        <v>100jourspourentreprendre.fr</v>
      </c>
      <c r="C575" s="1" t="s">
        <v>8</v>
      </c>
      <c r="D575" s="1">
        <v>1.0</v>
      </c>
      <c r="E575" s="1" t="s">
        <v>174</v>
      </c>
      <c r="F575" s="1" t="s">
        <v>54</v>
      </c>
      <c r="G575" s="5" t="str">
        <f t="array" ref="G575">XLOOKUP(B575,LFinder!A:A,LFinder!B:B,"absent des plateformes")</f>
        <v>absent des plateformes</v>
      </c>
    </row>
    <row r="576">
      <c r="A576" s="3" t="s">
        <v>698</v>
      </c>
      <c r="B576" s="4" t="str">
        <f>IFERROR(__xludf.DUMMYFUNCTION("REGEXREPLACE(A576, ""^https?://(www\.)?|/.*"", """")"),"100jourspourentreprendre.fr")</f>
        <v>100jourspourentreprendre.fr</v>
      </c>
      <c r="C576" s="1" t="s">
        <v>50</v>
      </c>
      <c r="D576" s="1">
        <v>1.0</v>
      </c>
      <c r="E576" s="1" t="s">
        <v>51</v>
      </c>
      <c r="F576" s="1" t="s">
        <v>10</v>
      </c>
      <c r="G576" s="5" t="str">
        <f t="array" ref="G576">XLOOKUP(B576,LFinder!A:A,LFinder!B:B,"absent des plateformes")</f>
        <v>absent des plateformes</v>
      </c>
    </row>
    <row r="577">
      <c r="A577" s="3" t="s">
        <v>699</v>
      </c>
      <c r="B577" s="4" t="str">
        <f>IFERROR(__xludf.DUMMYFUNCTION("REGEXREPLACE(A577, ""^https?://(www\.)?|/.*"", """")"),"wise.com")</f>
        <v>wise.com</v>
      </c>
      <c r="C577" s="1" t="s">
        <v>8</v>
      </c>
      <c r="D577" s="1">
        <v>1.0</v>
      </c>
      <c r="E577" s="1" t="s">
        <v>129</v>
      </c>
      <c r="F577" s="1" t="s">
        <v>10</v>
      </c>
      <c r="G577" s="5" t="str">
        <f t="array" ref="G577">XLOOKUP(B577,LFinder!A:A,LFinder!B:B,"absent des plateformes")</f>
        <v>absent des plateformes</v>
      </c>
    </row>
    <row r="578">
      <c r="A578" s="3" t="s">
        <v>700</v>
      </c>
      <c r="B578" s="4" t="str">
        <f>IFERROR(__xludf.DUMMYFUNCTION("REGEXREPLACE(A578, ""^https?://(www\.)?|/.*"", """")"),"wise.com")</f>
        <v>wise.com</v>
      </c>
      <c r="C578" s="1" t="s">
        <v>50</v>
      </c>
      <c r="D578" s="1">
        <v>1.0</v>
      </c>
      <c r="E578" s="1" t="s">
        <v>51</v>
      </c>
      <c r="F578" s="1" t="s">
        <v>10</v>
      </c>
      <c r="G578" s="5" t="str">
        <f t="array" ref="G578">XLOOKUP(B578,LFinder!A:A,LFinder!B:B,"absent des plateformes")</f>
        <v>absent des plateformes</v>
      </c>
    </row>
    <row r="579">
      <c r="A579" s="3" t="s">
        <v>701</v>
      </c>
      <c r="B579" s="4" t="str">
        <f>IFERROR(__xludf.DUMMYFUNCTION("REGEXREPLACE(A579, ""^https?://(www\.)?|/.*"", """")"),"cacomptepourmoi.fr")</f>
        <v>cacomptepourmoi.fr</v>
      </c>
      <c r="C579" s="1" t="s">
        <v>50</v>
      </c>
      <c r="D579" s="1">
        <v>1.0</v>
      </c>
      <c r="E579" s="1" t="s">
        <v>51</v>
      </c>
      <c r="F579" s="1" t="s">
        <v>10</v>
      </c>
      <c r="G579" s="5" t="str">
        <f t="array" ref="G579">XLOOKUP(B579,LFinder!A:A,LFinder!B:B,"absent des plateformes")</f>
        <v>absent des plateformes</v>
      </c>
    </row>
    <row r="580">
      <c r="A580" s="3" t="s">
        <v>702</v>
      </c>
      <c r="B580" s="4" t="str">
        <f>IFERROR(__xludf.DUMMYFUNCTION("REGEXREPLACE(A580, ""^https?://(www\.)?|/.*"", """")"),"cacomptepourmoi.fr")</f>
        <v>cacomptepourmoi.fr</v>
      </c>
      <c r="C580" s="1" t="s">
        <v>50</v>
      </c>
      <c r="D580" s="1">
        <v>1.0</v>
      </c>
      <c r="E580" s="1" t="s">
        <v>51</v>
      </c>
      <c r="F580" s="1" t="s">
        <v>10</v>
      </c>
      <c r="G580" s="5" t="str">
        <f t="array" ref="G580">XLOOKUP(B580,LFinder!A:A,LFinder!B:B,"absent des plateformes")</f>
        <v>absent des plateformes</v>
      </c>
    </row>
    <row r="581">
      <c r="A581" s="3" t="s">
        <v>703</v>
      </c>
      <c r="B581" s="4" t="str">
        <f>IFERROR(__xludf.DUMMYFUNCTION("REGEXREPLACE(A581, ""^https?://(www\.)?|/.*"", """")"),"legalplace.fr")</f>
        <v>legalplace.fr</v>
      </c>
      <c r="C581" s="1" t="s">
        <v>8</v>
      </c>
      <c r="D581" s="1">
        <v>1.0</v>
      </c>
      <c r="E581" s="1" t="s">
        <v>20</v>
      </c>
      <c r="F581" s="1" t="s">
        <v>10</v>
      </c>
      <c r="G581" s="5" t="str">
        <f t="array" ref="G581">XLOOKUP(B581,LFinder!A:A,LFinder!B:B,"absent des plateformes")</f>
        <v>absent des plateformes</v>
      </c>
    </row>
    <row r="582">
      <c r="A582" s="3" t="s">
        <v>704</v>
      </c>
      <c r="B582" s="4" t="str">
        <f>IFERROR(__xludf.DUMMYFUNCTION("REGEXREPLACE(A582, ""^https?://(www\.)?|/.*"", """")"),"legalplace.fr")</f>
        <v>legalplace.fr</v>
      </c>
      <c r="C582" s="1" t="s">
        <v>50</v>
      </c>
      <c r="D582" s="1">
        <v>1.0</v>
      </c>
      <c r="E582" s="1" t="s">
        <v>51</v>
      </c>
      <c r="F582" s="1" t="s">
        <v>54</v>
      </c>
      <c r="G582" s="5" t="str">
        <f t="array" ref="G582">XLOOKUP(B582,LFinder!A:A,LFinder!B:B,"absent des plateformes")</f>
        <v>absent des plateformes</v>
      </c>
    </row>
    <row r="583">
      <c r="A583" s="3" t="s">
        <v>705</v>
      </c>
      <c r="B583" s="4" t="str">
        <f>IFERROR(__xludf.DUMMYFUNCTION("REGEXREPLACE(A583, ""^https?://(www\.)?|/.*"", """")"),"legalplace.fr")</f>
        <v>legalplace.fr</v>
      </c>
      <c r="C583" s="1" t="s">
        <v>50</v>
      </c>
      <c r="D583" s="1">
        <v>1.0</v>
      </c>
      <c r="E583" s="1" t="s">
        <v>51</v>
      </c>
      <c r="F583" s="1" t="s">
        <v>10</v>
      </c>
      <c r="G583" s="5" t="str">
        <f t="array" ref="G583">XLOOKUP(B583,LFinder!A:A,LFinder!B:B,"absent des plateformes")</f>
        <v>absent des plateformes</v>
      </c>
    </row>
    <row r="584">
      <c r="A584" s="3" t="s">
        <v>706</v>
      </c>
      <c r="B584" s="4" t="str">
        <f>IFERROR(__xludf.DUMMYFUNCTION("REGEXREPLACE(A584, ""^https?://(www\.)?|/.*"", """")"),"yakacomparer.com")</f>
        <v>yakacomparer.com</v>
      </c>
      <c r="C584" s="1" t="s">
        <v>8</v>
      </c>
      <c r="D584" s="1">
        <v>1.0</v>
      </c>
      <c r="E584" s="1" t="s">
        <v>14</v>
      </c>
      <c r="F584" s="1" t="s">
        <v>54</v>
      </c>
      <c r="G584" s="5" t="str">
        <f t="array" ref="G584">XLOOKUP(B584,LFinder!A:A,LFinder!B:B,"absent des plateformes")</f>
        <v>absent des plateformes</v>
      </c>
    </row>
    <row r="585">
      <c r="A585" s="3" t="s">
        <v>707</v>
      </c>
      <c r="B585" s="4" t="str">
        <f>IFERROR(__xludf.DUMMYFUNCTION("REGEXREPLACE(A585, ""^https?://(www\.)?|/.*"", """")"),"impli.fr")</f>
        <v>impli.fr</v>
      </c>
      <c r="C585" s="1" t="s">
        <v>8</v>
      </c>
      <c r="D585" s="1">
        <v>1.0</v>
      </c>
      <c r="E585" s="1" t="s">
        <v>82</v>
      </c>
      <c r="F585" s="1" t="s">
        <v>10</v>
      </c>
      <c r="G585" s="5" t="str">
        <f t="array" ref="G585">XLOOKUP(B585,LFinder!A:A,LFinder!B:B,"absent des plateformes")</f>
        <v>absent des plateformes</v>
      </c>
    </row>
    <row r="586">
      <c r="A586" s="3" t="s">
        <v>708</v>
      </c>
      <c r="B586" s="4" t="str">
        <f>IFERROR(__xludf.DUMMYFUNCTION("REGEXREPLACE(A586, ""^https?://(www\.)?|/.*"", """")"),"ereconseils.com")</f>
        <v>ereconseils.com</v>
      </c>
      <c r="C586" s="1" t="s">
        <v>8</v>
      </c>
      <c r="D586" s="1">
        <v>1.0</v>
      </c>
      <c r="E586" s="1" t="s">
        <v>61</v>
      </c>
      <c r="F586" s="1" t="s">
        <v>10</v>
      </c>
      <c r="G586" s="5" t="str">
        <f t="array" ref="G586">XLOOKUP(B586,LFinder!A:A,LFinder!B:B,"absent des plateformes")</f>
        <v>absent des plateformes</v>
      </c>
    </row>
    <row r="587">
      <c r="A587" s="3" t="s">
        <v>709</v>
      </c>
      <c r="B587" s="4" t="str">
        <f>IFERROR(__xludf.DUMMYFUNCTION("REGEXREPLACE(A587, ""^https?://(www\.)?|/.*"", """")"),"cerepfrance.com")</f>
        <v>cerepfrance.com</v>
      </c>
      <c r="C587" s="1" t="s">
        <v>8</v>
      </c>
      <c r="D587" s="1">
        <v>1.0</v>
      </c>
      <c r="E587" s="1" t="s">
        <v>507</v>
      </c>
      <c r="F587" s="1" t="s">
        <v>10</v>
      </c>
      <c r="G587" s="5" t="str">
        <f t="array" ref="G587">XLOOKUP(B587,LFinder!A:A,LFinder!B:B,"absent des plateformes")</f>
        <v>absent des plateformes</v>
      </c>
    </row>
    <row r="588">
      <c r="A588" s="3" t="s">
        <v>710</v>
      </c>
      <c r="B588" s="4" t="str">
        <f>IFERROR(__xludf.DUMMYFUNCTION("REGEXREPLACE(A588, ""^https?://(www\.)?|/.*"", """")"),"travail-emploi.gouv.fr")</f>
        <v>travail-emploi.gouv.fr</v>
      </c>
      <c r="C588" s="1" t="s">
        <v>8</v>
      </c>
      <c r="D588" s="1">
        <v>1.0</v>
      </c>
      <c r="E588" s="1" t="s">
        <v>61</v>
      </c>
      <c r="F588" s="1" t="s">
        <v>10</v>
      </c>
      <c r="G588" s="5" t="str">
        <f t="array" ref="G588">XLOOKUP(B588,LFinder!A:A,LFinder!B:B,"absent des plateformes")</f>
        <v>absent des plateformes</v>
      </c>
    </row>
    <row r="589">
      <c r="A589" s="3" t="s">
        <v>711</v>
      </c>
      <c r="B589" s="4" t="str">
        <f>IFERROR(__xludf.DUMMYFUNCTION("REGEXREPLACE(A589, ""^https?://(www\.)?|/.*"", """")"),"copeps.fr")</f>
        <v>copeps.fr</v>
      </c>
      <c r="C589" s="1" t="s">
        <v>8</v>
      </c>
      <c r="D589" s="1">
        <v>1.0</v>
      </c>
      <c r="E589" s="1" t="s">
        <v>45</v>
      </c>
      <c r="F589" s="1" t="s">
        <v>10</v>
      </c>
      <c r="G589" s="5" t="str">
        <f t="array" ref="G589">XLOOKUP(B589,LFinder!A:A,LFinder!B:B,"absent des plateformes")</f>
        <v>absent des plateformes</v>
      </c>
    </row>
    <row r="590">
      <c r="A590" s="3" t="s">
        <v>712</v>
      </c>
      <c r="B590" s="4" t="str">
        <f>IFERROR(__xludf.DUMMYFUNCTION("REGEXREPLACE(A590, ""^https?://(www\.)?|/.*"", """")"),"copeps.fr")</f>
        <v>copeps.fr</v>
      </c>
      <c r="C590" s="1" t="s">
        <v>8</v>
      </c>
      <c r="D590" s="1">
        <v>1.0</v>
      </c>
      <c r="E590" s="1" t="s">
        <v>63</v>
      </c>
      <c r="F590" s="1" t="s">
        <v>10</v>
      </c>
      <c r="G590" s="5" t="str">
        <f t="array" ref="G590">XLOOKUP(B590,LFinder!A:A,LFinder!B:B,"absent des plateformes")</f>
        <v>absent des plateformes</v>
      </c>
    </row>
    <row r="591">
      <c r="A591" s="3" t="s">
        <v>713</v>
      </c>
      <c r="B591" s="4" t="str">
        <f>IFERROR(__xludf.DUMMYFUNCTION("REGEXREPLACE(A591, ""^https?://(www\.)?|/.*"", """")"),"ma-retraite-demain.fr")</f>
        <v>ma-retraite-demain.fr</v>
      </c>
      <c r="C591" s="1" t="s">
        <v>8</v>
      </c>
      <c r="D591" s="1">
        <v>1.0</v>
      </c>
      <c r="E591" s="1" t="s">
        <v>63</v>
      </c>
      <c r="F591" s="1" t="s">
        <v>10</v>
      </c>
      <c r="G591" s="5" t="str">
        <f t="array" ref="G591">XLOOKUP(B591,LFinder!A:A,LFinder!B:B,"absent des plateformes")</f>
        <v>absent des plateformes</v>
      </c>
    </row>
    <row r="592">
      <c r="A592" s="3" t="s">
        <v>714</v>
      </c>
      <c r="B592" s="4" t="str">
        <f>IFERROR(__xludf.DUMMYFUNCTION("REGEXREPLACE(A592, ""^https?://(www\.)?|/.*"", """")"),"optimial.fr")</f>
        <v>optimial.fr</v>
      </c>
      <c r="C592" s="1" t="s">
        <v>8</v>
      </c>
      <c r="D592" s="1">
        <v>1.0</v>
      </c>
      <c r="E592" s="1" t="s">
        <v>63</v>
      </c>
      <c r="F592" s="1" t="s">
        <v>10</v>
      </c>
      <c r="G592" s="5" t="str">
        <f t="array" ref="G592">XLOOKUP(B592,LFinder!A:A,LFinder!B:B,"absent des plateformes")</f>
        <v>absent des plateformes</v>
      </c>
    </row>
    <row r="593">
      <c r="A593" s="3" t="s">
        <v>715</v>
      </c>
      <c r="B593" s="4" t="str">
        <f>IFERROR(__xludf.DUMMYFUNCTION("REGEXREPLACE(A593, ""^https?://(www\.)?|/.*"", """")"),"harmony-patrimoine.fr")</f>
        <v>harmony-patrimoine.fr</v>
      </c>
      <c r="C593" s="1" t="s">
        <v>8</v>
      </c>
      <c r="D593" s="1">
        <v>1.0</v>
      </c>
      <c r="E593" s="1" t="s">
        <v>63</v>
      </c>
      <c r="F593" s="1" t="s">
        <v>10</v>
      </c>
      <c r="G593" s="5" t="str">
        <f t="array" ref="G593">XLOOKUP(B593,LFinder!A:A,LFinder!B:B,"absent des plateformes")</f>
        <v>absent des plateformes</v>
      </c>
    </row>
    <row r="594">
      <c r="A594" s="3" t="s">
        <v>716</v>
      </c>
      <c r="B594" s="4" t="str">
        <f>IFERROR(__xludf.DUMMYFUNCTION("REGEXREPLACE(A594, ""^https?://(www\.)?|/.*"", """")"),"inrealart.com")</f>
        <v>inrealart.com</v>
      </c>
      <c r="C594" s="1" t="s">
        <v>8</v>
      </c>
      <c r="D594" s="1">
        <v>1.0</v>
      </c>
      <c r="E594" s="1" t="s">
        <v>63</v>
      </c>
      <c r="F594" s="1" t="s">
        <v>10</v>
      </c>
      <c r="G594" s="5" t="str">
        <f t="array" ref="G594">XLOOKUP(B594,LFinder!A:A,LFinder!B:B,"absent des plateformes")</f>
        <v>absent des plateformes</v>
      </c>
    </row>
    <row r="595">
      <c r="A595" s="3" t="s">
        <v>717</v>
      </c>
      <c r="B595" s="4" t="str">
        <f>IFERROR(__xludf.DUMMYFUNCTION("REGEXREPLACE(A595, ""^https?://(www\.)?|/.*"", """")"),"ch-gestionprivee.fr")</f>
        <v>ch-gestionprivee.fr</v>
      </c>
      <c r="C595" s="1" t="s">
        <v>8</v>
      </c>
      <c r="D595" s="1">
        <v>1.0</v>
      </c>
      <c r="E595" s="1" t="s">
        <v>63</v>
      </c>
      <c r="F595" s="1" t="s">
        <v>10</v>
      </c>
      <c r="G595" s="5" t="str">
        <f t="array" ref="G595">XLOOKUP(B595,LFinder!A:A,LFinder!B:B,"absent des plateformes")</f>
        <v>absent des plateformes</v>
      </c>
    </row>
    <row r="596">
      <c r="A596" s="3" t="s">
        <v>718</v>
      </c>
      <c r="B596" s="4" t="str">
        <f>IFERROR(__xludf.DUMMYFUNCTION("REGEXREPLACE(A596, ""^https?://(www\.)?|/.*"", """")"),"agorafinance.fr")</f>
        <v>agorafinance.fr</v>
      </c>
      <c r="C596" s="1" t="s">
        <v>8</v>
      </c>
      <c r="D596" s="1">
        <v>1.0</v>
      </c>
      <c r="E596" s="1" t="s">
        <v>63</v>
      </c>
      <c r="F596" s="1" t="s">
        <v>10</v>
      </c>
      <c r="G596" s="5" t="str">
        <f t="array" ref="G596">XLOOKUP(B596,LFinder!A:A,LFinder!B:B,"absent des plateformes")</f>
        <v>absent des plateformes</v>
      </c>
    </row>
    <row r="597">
      <c r="A597" s="3" t="s">
        <v>719</v>
      </c>
      <c r="B597" s="4" t="str">
        <f>IFERROR(__xludf.DUMMYFUNCTION("REGEXREPLACE(A597, ""^https?://(www\.)?|/.*"", """")"),"optimiser-remuneration-dirigeant.fr")</f>
        <v>optimiser-remuneration-dirigeant.fr</v>
      </c>
      <c r="C597" s="1" t="s">
        <v>8</v>
      </c>
      <c r="D597" s="1">
        <v>1.0</v>
      </c>
      <c r="E597" s="1" t="s">
        <v>63</v>
      </c>
      <c r="F597" s="1" t="s">
        <v>10</v>
      </c>
      <c r="G597" s="5" t="str">
        <f t="array" ref="G597">XLOOKUP(B597,LFinder!A:A,LFinder!B:B,"absent des plateformes")</f>
        <v>absent des plateformes</v>
      </c>
    </row>
    <row r="598">
      <c r="A598" s="3" t="s">
        <v>720</v>
      </c>
      <c r="B598" s="4" t="str">
        <f>IFERROR(__xludf.DUMMYFUNCTION("REGEXREPLACE(A598, ""^https?://(www\.)?|/.*"", """")"),"inextenso.fr")</f>
        <v>inextenso.fr</v>
      </c>
      <c r="C598" s="1" t="s">
        <v>8</v>
      </c>
      <c r="D598" s="1">
        <v>1.0</v>
      </c>
      <c r="E598" s="1" t="s">
        <v>38</v>
      </c>
      <c r="F598" s="1" t="s">
        <v>10</v>
      </c>
      <c r="G598" s="5" t="str">
        <f t="array" ref="G598">XLOOKUP(B598,LFinder!A:A,LFinder!B:B,"absent des plateformes")</f>
        <v>absent des plateformes</v>
      </c>
    </row>
    <row r="599">
      <c r="A599" s="3" t="s">
        <v>721</v>
      </c>
      <c r="B599" s="4" t="str">
        <f>IFERROR(__xludf.DUMMYFUNCTION("REGEXREPLACE(A599, ""^https?://(www\.)?|/.*"", """")"),"inextenso.fr")</f>
        <v>inextenso.fr</v>
      </c>
      <c r="C599" s="1" t="s">
        <v>8</v>
      </c>
      <c r="D599" s="1">
        <v>1.0</v>
      </c>
      <c r="E599" s="1" t="s">
        <v>38</v>
      </c>
      <c r="F599" s="1" t="s">
        <v>10</v>
      </c>
      <c r="G599" s="5" t="str">
        <f t="array" ref="G599">XLOOKUP(B599,LFinder!A:A,LFinder!B:B,"absent des plateformes")</f>
        <v>absent des plateformes</v>
      </c>
    </row>
    <row r="600">
      <c r="A600" s="3" t="s">
        <v>722</v>
      </c>
      <c r="B600" s="4" t="str">
        <f>IFERROR(__xludf.DUMMYFUNCTION("REGEXREPLACE(A600, ""^https?://(www\.)?|/.*"", """")"),"inextenso.fr")</f>
        <v>inextenso.fr</v>
      </c>
      <c r="C600" s="1" t="s">
        <v>8</v>
      </c>
      <c r="D600" s="1">
        <v>1.0</v>
      </c>
      <c r="E600" s="1" t="s">
        <v>38</v>
      </c>
      <c r="F600" s="1" t="s">
        <v>10</v>
      </c>
      <c r="G600" s="5" t="str">
        <f t="array" ref="G600">XLOOKUP(B600,LFinder!A:A,LFinder!B:B,"absent des plateformes")</f>
        <v>absent des plateformes</v>
      </c>
    </row>
    <row r="601">
      <c r="A601" s="3" t="s">
        <v>723</v>
      </c>
      <c r="B601" s="4" t="str">
        <f>IFERROR(__xludf.DUMMYFUNCTION("REGEXREPLACE(A601, ""^https?://(www\.)?|/.*"", """")"),"annuaireavocats.fr")</f>
        <v>annuaireavocats.fr</v>
      </c>
      <c r="C601" s="1" t="s">
        <v>8</v>
      </c>
      <c r="D601" s="1">
        <v>1.0</v>
      </c>
      <c r="E601" s="1" t="s">
        <v>407</v>
      </c>
      <c r="F601" s="1" t="s">
        <v>10</v>
      </c>
      <c r="G601" s="5" t="str">
        <f t="array" ref="G601">XLOOKUP(B601,LFinder!A:A,LFinder!B:B,"absent des plateformes")</f>
        <v>absent des plateformes</v>
      </c>
    </row>
    <row r="602">
      <c r="A602" s="3" t="s">
        <v>724</v>
      </c>
      <c r="B602" s="4" t="str">
        <f>IFERROR(__xludf.DUMMYFUNCTION("REGEXREPLACE(A602, ""^https?://(www\.)?|/.*"", """")"),"lmavocats.net")</f>
        <v>lmavocats.net</v>
      </c>
      <c r="C602" s="1" t="s">
        <v>8</v>
      </c>
      <c r="D602" s="1">
        <v>1.0</v>
      </c>
      <c r="E602" s="1" t="s">
        <v>407</v>
      </c>
      <c r="F602" s="1" t="s">
        <v>10</v>
      </c>
      <c r="G602" s="5" t="str">
        <f t="array" ref="G602">XLOOKUP(B602,LFinder!A:A,LFinder!B:B,"absent des plateformes")</f>
        <v>absent des plateformes</v>
      </c>
    </row>
    <row r="603">
      <c r="A603" s="3" t="s">
        <v>725</v>
      </c>
      <c r="B603" s="4" t="str">
        <f>IFERROR(__xludf.DUMMYFUNCTION("REGEXREPLACE(A603, ""^https?://(www\.)?|/.*"", """")"),"riftavocats.fr")</f>
        <v>riftavocats.fr</v>
      </c>
      <c r="C603" s="1" t="s">
        <v>8</v>
      </c>
      <c r="D603" s="1">
        <v>1.0</v>
      </c>
      <c r="E603" s="1" t="s">
        <v>407</v>
      </c>
      <c r="F603" s="1" t="s">
        <v>10</v>
      </c>
      <c r="G603" s="5" t="str">
        <f t="array" ref="G603">XLOOKUP(B603,LFinder!A:A,LFinder!B:B,"absent des plateformes")</f>
        <v>absent des plateformes</v>
      </c>
    </row>
    <row r="604">
      <c r="A604" s="3" t="s">
        <v>726</v>
      </c>
      <c r="B604" s="4" t="str">
        <f>IFERROR(__xludf.DUMMYFUNCTION("REGEXREPLACE(A604, ""^https?://(www\.)?|/.*"", """")"),"fsavocats.fr")</f>
        <v>fsavocats.fr</v>
      </c>
      <c r="C604" s="1" t="s">
        <v>8</v>
      </c>
      <c r="D604" s="1">
        <v>1.0</v>
      </c>
      <c r="E604" s="1" t="s">
        <v>407</v>
      </c>
      <c r="F604" s="1" t="s">
        <v>10</v>
      </c>
      <c r="G604" s="5" t="str">
        <f t="array" ref="G604">XLOOKUP(B604,LFinder!A:A,LFinder!B:B,"absent des plateformes")</f>
        <v>absent des plateformes</v>
      </c>
    </row>
    <row r="605">
      <c r="A605" s="3" t="s">
        <v>727</v>
      </c>
      <c r="B605" s="4" t="str">
        <f>IFERROR(__xludf.DUMMYFUNCTION("REGEXREPLACE(A605, ""^https?://(www\.)?|/.*"", """")"),"avocatia.com")</f>
        <v>avocatia.com</v>
      </c>
      <c r="C605" s="1" t="s">
        <v>8</v>
      </c>
      <c r="D605" s="1">
        <v>1.0</v>
      </c>
      <c r="E605" s="1" t="s">
        <v>407</v>
      </c>
      <c r="F605" s="1" t="s">
        <v>10</v>
      </c>
      <c r="G605" s="5" t="str">
        <f t="array" ref="G605">XLOOKUP(B605,LFinder!A:A,LFinder!B:B,"absent des plateformes")</f>
        <v>absent des plateformes</v>
      </c>
    </row>
    <row r="606">
      <c r="A606" s="3" t="s">
        <v>728</v>
      </c>
      <c r="B606" s="4" t="str">
        <f>IFERROR(__xludf.DUMMYFUNCTION("REGEXREPLACE(A606, ""^https?://(www\.)?|/.*"", """")"),"avocatayoun.fr")</f>
        <v>avocatayoun.fr</v>
      </c>
      <c r="C606" s="1" t="s">
        <v>8</v>
      </c>
      <c r="D606" s="1">
        <v>1.0</v>
      </c>
      <c r="E606" s="1" t="s">
        <v>407</v>
      </c>
      <c r="F606" s="1" t="s">
        <v>10</v>
      </c>
      <c r="G606" s="5" t="str">
        <f t="array" ref="G606">XLOOKUP(B606,LFinder!A:A,LFinder!B:B,"absent des plateformes")</f>
        <v>absent des plateformes</v>
      </c>
    </row>
    <row r="607">
      <c r="A607" s="3" t="s">
        <v>729</v>
      </c>
      <c r="B607" s="4" t="str">
        <f>IFERROR(__xludf.DUMMYFUNCTION("REGEXREPLACE(A607, ""^https?://(www\.)?|/.*"", """")"),"cabinet-leroux.com")</f>
        <v>cabinet-leroux.com</v>
      </c>
      <c r="C607" s="1" t="s">
        <v>8</v>
      </c>
      <c r="D607" s="1">
        <v>1.0</v>
      </c>
      <c r="E607" s="1" t="s">
        <v>407</v>
      </c>
      <c r="F607" s="1" t="s">
        <v>10</v>
      </c>
      <c r="G607" s="5" t="str">
        <f t="array" ref="G607">XLOOKUP(B607,LFinder!A:A,LFinder!B:B,"absent des plateformes")</f>
        <v>absent des plateformes</v>
      </c>
    </row>
    <row r="608">
      <c r="A608" s="3" t="s">
        <v>730</v>
      </c>
      <c r="B608" s="4" t="str">
        <f>IFERROR(__xludf.DUMMYFUNCTION("REGEXREPLACE(A608, ""^https?://(www\.)?|/.*"", """")"),"rebufat-avocats.com")</f>
        <v>rebufat-avocats.com</v>
      </c>
      <c r="C608" s="1" t="s">
        <v>8</v>
      </c>
      <c r="D608" s="1">
        <v>1.0</v>
      </c>
      <c r="E608" s="1" t="s">
        <v>407</v>
      </c>
      <c r="F608" s="1" t="s">
        <v>10</v>
      </c>
      <c r="G608" s="5" t="str">
        <f t="array" ref="G608">XLOOKUP(B608,LFinder!A:A,LFinder!B:B,"absent des plateformes")</f>
        <v>absent des plateformes</v>
      </c>
    </row>
    <row r="609">
      <c r="A609" s="3" t="s">
        <v>731</v>
      </c>
      <c r="B609" s="4" t="str">
        <f>IFERROR(__xludf.DUMMYFUNCTION("REGEXREPLACE(A609, ""^https?://(www\.)?|/.*"", """")"),"pezet-avocats.fr")</f>
        <v>pezet-avocats.fr</v>
      </c>
      <c r="C609" s="1" t="s">
        <v>8</v>
      </c>
      <c r="D609" s="1">
        <v>1.0</v>
      </c>
      <c r="E609" s="1" t="s">
        <v>407</v>
      </c>
      <c r="F609" s="1" t="s">
        <v>10</v>
      </c>
      <c r="G609" s="5" t="str">
        <f t="array" ref="G609">XLOOKUP(B609,LFinder!A:A,LFinder!B:B,"absent des plateformes")</f>
        <v>absent des plateformes</v>
      </c>
    </row>
    <row r="610">
      <c r="A610" s="3" t="s">
        <v>732</v>
      </c>
      <c r="B610" s="4" t="str">
        <f>IFERROR(__xludf.DUMMYFUNCTION("REGEXREPLACE(A610, ""^https?://(www\.)?|/.*"", """")"),"avocat-carrez.com")</f>
        <v>avocat-carrez.com</v>
      </c>
      <c r="C610" s="1" t="s">
        <v>8</v>
      </c>
      <c r="D610" s="1">
        <v>1.0</v>
      </c>
      <c r="E610" s="1" t="s">
        <v>407</v>
      </c>
      <c r="F610" s="1" t="s">
        <v>10</v>
      </c>
      <c r="G610" s="5" t="str">
        <f t="array" ref="G610">XLOOKUP(B610,LFinder!A:A,LFinder!B:B,"absent des plateformes")</f>
        <v>absent des plateformes</v>
      </c>
    </row>
    <row r="611">
      <c r="A611" s="3" t="s">
        <v>733</v>
      </c>
      <c r="B611" s="4" t="str">
        <f>IFERROR(__xludf.DUMMYFUNCTION("REGEXREPLACE(A611, ""^https?://(www\.)?|/.*"", """")"),"carlini-avocats.com")</f>
        <v>carlini-avocats.com</v>
      </c>
      <c r="C611" s="1" t="s">
        <v>8</v>
      </c>
      <c r="D611" s="1">
        <v>1.0</v>
      </c>
      <c r="E611" s="1" t="s">
        <v>407</v>
      </c>
      <c r="F611" s="1" t="s">
        <v>10</v>
      </c>
      <c r="G611" s="5" t="str">
        <f t="array" ref="G611">XLOOKUP(B611,LFinder!A:A,LFinder!B:B,"absent des plateformes")</f>
        <v>absent des plateformes</v>
      </c>
    </row>
    <row r="612">
      <c r="A612" s="3" t="s">
        <v>734</v>
      </c>
      <c r="B612" s="4" t="str">
        <f>IFERROR(__xludf.DUMMYFUNCTION("REGEXREPLACE(A612, ""^https?://(www\.)?|/.*"", """")"),"defenz.eu")</f>
        <v>defenz.eu</v>
      </c>
      <c r="C612" s="1" t="s">
        <v>8</v>
      </c>
      <c r="D612" s="1">
        <v>1.0</v>
      </c>
      <c r="E612" s="1" t="s">
        <v>407</v>
      </c>
      <c r="F612" s="1" t="s">
        <v>10</v>
      </c>
      <c r="G612" s="5" t="str">
        <f t="array" ref="G612">XLOOKUP(B612,LFinder!A:A,LFinder!B:B,"absent des plateformes")</f>
        <v>absent des plateformes</v>
      </c>
    </row>
    <row r="613">
      <c r="A613" s="3" t="s">
        <v>735</v>
      </c>
      <c r="B613" s="4" t="str">
        <f>IFERROR(__xludf.DUMMYFUNCTION("REGEXREPLACE(A613, ""^https?://(www\.)?|/.*"", """")"),"cabinetmillan.com")</f>
        <v>cabinetmillan.com</v>
      </c>
      <c r="C613" s="1" t="s">
        <v>8</v>
      </c>
      <c r="D613" s="1">
        <v>1.0</v>
      </c>
      <c r="E613" s="1" t="s">
        <v>736</v>
      </c>
      <c r="F613" s="1" t="s">
        <v>10</v>
      </c>
      <c r="G613" s="5" t="str">
        <f t="array" ref="G613">XLOOKUP(B613,LFinder!A:A,LFinder!B:B,"absent des plateformes")</f>
        <v>absent des plateformes</v>
      </c>
    </row>
    <row r="614">
      <c r="A614" s="3" t="s">
        <v>737</v>
      </c>
      <c r="B614" s="4" t="str">
        <f>IFERROR(__xludf.DUMMYFUNCTION("REGEXREPLACE(A614, ""^https?://(www\.)?|/.*"", """")"),"cabinetmillan.com")</f>
        <v>cabinetmillan.com</v>
      </c>
      <c r="C614" s="1" t="s">
        <v>8</v>
      </c>
      <c r="D614" s="1">
        <v>1.0</v>
      </c>
      <c r="E614" s="1" t="s">
        <v>736</v>
      </c>
      <c r="F614" s="1" t="s">
        <v>10</v>
      </c>
      <c r="G614" s="5" t="str">
        <f t="array" ref="G614">XLOOKUP(B614,LFinder!A:A,LFinder!B:B,"absent des plateformes")</f>
        <v>absent des plateformes</v>
      </c>
    </row>
    <row r="615">
      <c r="A615" s="3" t="s">
        <v>738</v>
      </c>
      <c r="B615" s="4" t="str">
        <f>IFERROR(__xludf.DUMMYFUNCTION("REGEXREPLACE(A615, ""^https?://(www\.)?|/.*"", """")"),"cabinetagefec.fr")</f>
        <v>cabinetagefec.fr</v>
      </c>
      <c r="C615" s="1" t="s">
        <v>8</v>
      </c>
      <c r="D615" s="1">
        <v>1.0</v>
      </c>
      <c r="E615" s="1" t="s">
        <v>736</v>
      </c>
      <c r="F615" s="1" t="s">
        <v>10</v>
      </c>
      <c r="G615" s="5" t="str">
        <f t="array" ref="G615">XLOOKUP(B615,LFinder!A:A,LFinder!B:B,"absent des plateformes")</f>
        <v>absent des plateformes</v>
      </c>
    </row>
    <row r="616">
      <c r="A616" s="3" t="s">
        <v>739</v>
      </c>
      <c r="B616" s="4" t="str">
        <f>IFERROR(__xludf.DUMMYFUNCTION("REGEXREPLACE(A616, ""^https?://(www\.)?|/.*"", """")"),"cecadi.fr")</f>
        <v>cecadi.fr</v>
      </c>
      <c r="C616" s="1" t="s">
        <v>8</v>
      </c>
      <c r="D616" s="1">
        <v>1.0</v>
      </c>
      <c r="E616" s="1" t="s">
        <v>736</v>
      </c>
      <c r="F616" s="1" t="s">
        <v>10</v>
      </c>
      <c r="G616" s="5" t="str">
        <f t="array" ref="G616">XLOOKUP(B616,LFinder!A:A,LFinder!B:B,"absent des plateformes")</f>
        <v>absent des plateformes</v>
      </c>
    </row>
    <row r="617">
      <c r="A617" s="3" t="s">
        <v>740</v>
      </c>
      <c r="B617" s="4" t="str">
        <f>IFERROR(__xludf.DUMMYFUNCTION("REGEXREPLACE(A617, ""^https?://(www\.)?|/.*"", """")"),"efirec.fr")</f>
        <v>efirec.fr</v>
      </c>
      <c r="C617" s="1" t="s">
        <v>8</v>
      </c>
      <c r="D617" s="1">
        <v>1.0</v>
      </c>
      <c r="E617" s="1" t="s">
        <v>736</v>
      </c>
      <c r="F617" s="1" t="s">
        <v>10</v>
      </c>
      <c r="G617" s="5" t="str">
        <f t="array" ref="G617">XLOOKUP(B617,LFinder!A:A,LFinder!B:B,"absent des plateformes")</f>
        <v>absent des plateformes</v>
      </c>
    </row>
    <row r="618">
      <c r="A618" s="3" t="s">
        <v>741</v>
      </c>
      <c r="B618" s="4" t="str">
        <f>IFERROR(__xludf.DUMMYFUNCTION("REGEXREPLACE(A618, ""^https?://(www\.)?|/.*"", """")"),"createursigcafrance.com")</f>
        <v>createursigcafrance.com</v>
      </c>
      <c r="C618" s="1" t="s">
        <v>8</v>
      </c>
      <c r="D618" s="1">
        <v>1.0</v>
      </c>
      <c r="E618" s="1" t="s">
        <v>736</v>
      </c>
      <c r="F618" s="1" t="s">
        <v>10</v>
      </c>
      <c r="G618" s="5" t="str">
        <f t="array" ref="G618">XLOOKUP(B618,LFinder!A:A,LFinder!B:B,"absent des plateformes")</f>
        <v>absent des plateformes</v>
      </c>
    </row>
    <row r="619">
      <c r="A619" s="3" t="s">
        <v>742</v>
      </c>
      <c r="B619" s="4" t="str">
        <f>IFERROR(__xludf.DUMMYFUNCTION("REGEXREPLACE(A619, ""^https?://(www\.)?|/.*"", """")"),"nextcompta.com")</f>
        <v>nextcompta.com</v>
      </c>
      <c r="C619" s="1" t="s">
        <v>8</v>
      </c>
      <c r="D619" s="1">
        <v>1.0</v>
      </c>
      <c r="E619" s="1" t="s">
        <v>736</v>
      </c>
      <c r="F619" s="1" t="s">
        <v>10</v>
      </c>
      <c r="G619" s="5" t="str">
        <f t="array" ref="G619">XLOOKUP(B619,LFinder!A:A,LFinder!B:B,"absent des plateformes")</f>
        <v>absent des plateformes</v>
      </c>
    </row>
    <row r="620">
      <c r="A620" s="3" t="s">
        <v>743</v>
      </c>
      <c r="B620" s="4" t="str">
        <f>IFERROR(__xludf.DUMMYFUNCTION("REGEXREPLACE(A620, ""^https?://(www\.)?|/.*"", """")"),"alphaleonis.fr")</f>
        <v>alphaleonis.fr</v>
      </c>
      <c r="C620" s="1" t="s">
        <v>8</v>
      </c>
      <c r="D620" s="1">
        <v>1.0</v>
      </c>
      <c r="E620" s="1" t="s">
        <v>736</v>
      </c>
      <c r="F620" s="1" t="s">
        <v>10</v>
      </c>
      <c r="G620" s="5" t="str">
        <f t="array" ref="G620">XLOOKUP(B620,LFinder!A:A,LFinder!B:B,"absent des plateformes")</f>
        <v>absent des plateformes</v>
      </c>
    </row>
    <row r="621">
      <c r="A621" s="3" t="s">
        <v>744</v>
      </c>
      <c r="B621" s="4" t="str">
        <f>IFERROR(__xludf.DUMMYFUNCTION("REGEXREPLACE(A621, ""^https?://(www\.)?|/.*"", """")"),"axessconseil.com")</f>
        <v>axessconseil.com</v>
      </c>
      <c r="C621" s="1" t="s">
        <v>8</v>
      </c>
      <c r="D621" s="1">
        <v>1.0</v>
      </c>
      <c r="E621" s="1" t="s">
        <v>323</v>
      </c>
      <c r="F621" s="1" t="s">
        <v>10</v>
      </c>
      <c r="G621" s="5" t="str">
        <f t="array" ref="G621">XLOOKUP(B621,LFinder!A:A,LFinder!B:B,"absent des plateformes")</f>
        <v>absent des plateformes</v>
      </c>
    </row>
    <row r="622">
      <c r="A622" s="3" t="s">
        <v>745</v>
      </c>
      <c r="B622" s="4" t="str">
        <f>IFERROR(__xludf.DUMMYFUNCTION("REGEXREPLACE(A622, ""^https?://(www\.)?|/.*"", """")"),"nexia-sa.fr")</f>
        <v>nexia-sa.fr</v>
      </c>
      <c r="C622" s="1" t="s">
        <v>8</v>
      </c>
      <c r="D622" s="1">
        <v>1.0</v>
      </c>
      <c r="E622" s="1" t="s">
        <v>426</v>
      </c>
      <c r="F622" s="1" t="s">
        <v>10</v>
      </c>
      <c r="G622" s="5" t="str">
        <f t="array" ref="G622">XLOOKUP(B622,LFinder!A:A,LFinder!B:B,"absent des plateformes")</f>
        <v>absent des plateformes</v>
      </c>
    </row>
    <row r="623">
      <c r="A623" s="3" t="s">
        <v>746</v>
      </c>
      <c r="B623" s="4" t="str">
        <f>IFERROR(__xludf.DUMMYFUNCTION("REGEXREPLACE(A623, ""^https?://(www\.)?|/.*"", """")"),"pyramide-conseils.fr")</f>
        <v>pyramide-conseils.fr</v>
      </c>
      <c r="C623" s="1" t="s">
        <v>8</v>
      </c>
      <c r="D623" s="1">
        <v>1.0</v>
      </c>
      <c r="E623" s="1" t="s">
        <v>43</v>
      </c>
      <c r="F623" s="1" t="s">
        <v>10</v>
      </c>
      <c r="G623" s="5" t="str">
        <f t="array" ref="G623">XLOOKUP(B623,LFinder!A:A,LFinder!B:B,"absent des plateformes")</f>
        <v>absent des plateformes</v>
      </c>
    </row>
    <row r="624">
      <c r="A624" s="3" t="s">
        <v>747</v>
      </c>
      <c r="B624" s="4" t="str">
        <f>IFERROR(__xludf.DUMMYFUNCTION("REGEXREPLACE(A624, ""^https?://(www\.)?|/.*"", """")"),"pyramide-conseils.fr")</f>
        <v>pyramide-conseils.fr</v>
      </c>
      <c r="C624" s="1" t="s">
        <v>8</v>
      </c>
      <c r="D624" s="1">
        <v>1.0</v>
      </c>
      <c r="E624" s="1" t="s">
        <v>426</v>
      </c>
      <c r="F624" s="1" t="s">
        <v>10</v>
      </c>
      <c r="G624" s="5" t="str">
        <f t="array" ref="G624">XLOOKUP(B624,LFinder!A:A,LFinder!B:B,"absent des plateformes")</f>
        <v>absent des plateformes</v>
      </c>
    </row>
    <row r="625">
      <c r="A625" s="3" t="s">
        <v>748</v>
      </c>
      <c r="B625" s="4" t="str">
        <f>IFERROR(__xludf.DUMMYFUNCTION("REGEXREPLACE(A625, ""^https?://(www\.)?|/.*"", """")"),"genesispatrimoineconseil.com")</f>
        <v>genesispatrimoineconseil.com</v>
      </c>
      <c r="C625" s="1" t="s">
        <v>8</v>
      </c>
      <c r="D625" s="1">
        <v>1.0</v>
      </c>
      <c r="E625" s="1" t="s">
        <v>61</v>
      </c>
      <c r="F625" s="1" t="s">
        <v>10</v>
      </c>
      <c r="G625" s="5" t="str">
        <f t="array" ref="G625">XLOOKUP(B625,LFinder!A:A,LFinder!B:B,"absent des plateformes")</f>
        <v>absent des plateformes</v>
      </c>
    </row>
    <row r="626">
      <c r="A626" s="3" t="s">
        <v>749</v>
      </c>
      <c r="B626" s="4" t="str">
        <f>IFERROR(__xludf.DUMMYFUNCTION("REGEXREPLACE(A626, ""^https?://(www\.)?|/.*"", """")"),"protectiontns.fr")</f>
        <v>protectiontns.fr</v>
      </c>
      <c r="C626" s="1" t="s">
        <v>8</v>
      </c>
      <c r="D626" s="1">
        <v>1.0</v>
      </c>
      <c r="E626" s="1" t="s">
        <v>61</v>
      </c>
      <c r="F626" s="1" t="s">
        <v>10</v>
      </c>
      <c r="G626" s="5" t="str">
        <f t="array" ref="G626">XLOOKUP(B626,LFinder!A:A,LFinder!B:B,"absent des plateformes")</f>
        <v>absent des plateformes</v>
      </c>
    </row>
    <row r="627">
      <c r="A627" s="3" t="s">
        <v>750</v>
      </c>
      <c r="B627" s="4" t="str">
        <f>IFERROR(__xludf.DUMMYFUNCTION("REGEXREPLACE(A627, ""^https?://(www\.)?|/.*"", """")"),"armonia-retraite.fr")</f>
        <v>armonia-retraite.fr</v>
      </c>
      <c r="C627" s="1" t="s">
        <v>8</v>
      </c>
      <c r="D627" s="1">
        <v>1.0</v>
      </c>
      <c r="E627" s="1" t="s">
        <v>61</v>
      </c>
      <c r="F627" s="1" t="s">
        <v>10</v>
      </c>
      <c r="G627" s="5" t="str">
        <f t="array" ref="G627">XLOOKUP(B627,LFinder!A:A,LFinder!B:B,"absent des plateformes")</f>
        <v>absent des plateformes</v>
      </c>
    </row>
    <row r="628">
      <c r="A628" s="3" t="s">
        <v>751</v>
      </c>
      <c r="B628" s="4" t="str">
        <f>IFERROR(__xludf.DUMMYFUNCTION("REGEXREPLACE(A628, ""^https?://(www\.)?|/.*"", """")"),"retraitexpertise.com")</f>
        <v>retraitexpertise.com</v>
      </c>
      <c r="C628" s="1" t="s">
        <v>8</v>
      </c>
      <c r="D628" s="1">
        <v>1.0</v>
      </c>
      <c r="E628" s="1" t="s">
        <v>61</v>
      </c>
      <c r="F628" s="1" t="s">
        <v>10</v>
      </c>
      <c r="G628" s="5" t="str">
        <f t="array" ref="G628">XLOOKUP(B628,LFinder!A:A,LFinder!B:B,"absent des plateformes")</f>
        <v>absent des plateformes</v>
      </c>
    </row>
    <row r="629">
      <c r="A629" s="3" t="s">
        <v>752</v>
      </c>
      <c r="B629" s="4" t="str">
        <f>IFERROR(__xludf.DUMMYFUNCTION("REGEXREPLACE(A629, ""^https?://(www\.)?|/.*"", """")"),"mg-assurance.fr")</f>
        <v>mg-assurance.fr</v>
      </c>
      <c r="C629" s="1" t="s">
        <v>8</v>
      </c>
      <c r="D629" s="1">
        <v>1.0</v>
      </c>
      <c r="E629" s="1" t="s">
        <v>61</v>
      </c>
      <c r="F629" s="1" t="s">
        <v>10</v>
      </c>
      <c r="G629" s="5" t="str">
        <f t="array" ref="G629">XLOOKUP(B629,LFinder!A:A,LFinder!B:B,"absent des plateformes")</f>
        <v>absent des plateformes</v>
      </c>
    </row>
    <row r="630">
      <c r="A630" s="3" t="s">
        <v>753</v>
      </c>
      <c r="B630" s="4" t="str">
        <f>IFERROR(__xludf.DUMMYFUNCTION("REGEXREPLACE(A630, ""^https?://(www\.)?|/.*"", """")"),"oec-hdf.com")</f>
        <v>oec-hdf.com</v>
      </c>
      <c r="C630" s="1" t="s">
        <v>8</v>
      </c>
      <c r="D630" s="1">
        <v>1.0</v>
      </c>
      <c r="E630" s="1" t="s">
        <v>38</v>
      </c>
      <c r="F630" s="1" t="s">
        <v>10</v>
      </c>
      <c r="G630" s="5" t="str">
        <f t="array" ref="G630">XLOOKUP(B630,LFinder!A:A,LFinder!B:B,"absent des plateformes")</f>
        <v>absent des plateformes</v>
      </c>
    </row>
    <row r="631">
      <c r="A631" s="3" t="s">
        <v>754</v>
      </c>
      <c r="B631" s="4" t="str">
        <f>IFERROR(__xludf.DUMMYFUNCTION("REGEXREPLACE(A631, ""^https?://(www\.)?|/.*"", """")"),"selexium.com")</f>
        <v>selexium.com</v>
      </c>
      <c r="C631" s="1" t="s">
        <v>8</v>
      </c>
      <c r="D631" s="1">
        <v>1.0</v>
      </c>
      <c r="E631" s="1" t="s">
        <v>38</v>
      </c>
      <c r="F631" s="1" t="s">
        <v>10</v>
      </c>
      <c r="G631" s="5" t="str">
        <f t="array" ref="G631">XLOOKUP(B631,LFinder!A:A,LFinder!B:B,"absent des plateformes")</f>
        <v>absent des plateformes</v>
      </c>
    </row>
    <row r="632">
      <c r="A632" s="3" t="s">
        <v>755</v>
      </c>
      <c r="B632" s="4" t="str">
        <f>IFERROR(__xludf.DUMMYFUNCTION("REGEXREPLACE(A632, ""^https?://(www\.)?|/.*"", """")"),"bmfiduciaire.fr")</f>
        <v>bmfiduciaire.fr</v>
      </c>
      <c r="C632" s="1" t="s">
        <v>8</v>
      </c>
      <c r="D632" s="1">
        <v>1.0</v>
      </c>
      <c r="E632" s="1" t="s">
        <v>38</v>
      </c>
      <c r="F632" s="1" t="s">
        <v>10</v>
      </c>
      <c r="G632" s="5" t="str">
        <f t="array" ref="G632">XLOOKUP(B632,LFinder!A:A,LFinder!B:B,"absent des plateformes")</f>
        <v>absent des plateformes</v>
      </c>
    </row>
    <row r="633">
      <c r="A633" s="3" t="s">
        <v>756</v>
      </c>
      <c r="B633" s="4" t="str">
        <f>IFERROR(__xludf.DUMMYFUNCTION("REGEXREPLACE(A633, ""^https?://(www\.)?|/.*"", """")"),"oec-occitanie.org")</f>
        <v>oec-occitanie.org</v>
      </c>
      <c r="C633" s="1" t="s">
        <v>8</v>
      </c>
      <c r="D633" s="1">
        <v>1.0</v>
      </c>
      <c r="E633" s="1" t="s">
        <v>38</v>
      </c>
      <c r="F633" s="1" t="s">
        <v>10</v>
      </c>
      <c r="G633" s="5" t="str">
        <f t="array" ref="G633">XLOOKUP(B633,LFinder!A:A,LFinder!B:B,"absent des plateformes")</f>
        <v>absent des plateformes</v>
      </c>
    </row>
    <row r="634">
      <c r="A634" s="3" t="s">
        <v>757</v>
      </c>
      <c r="B634" s="4" t="str">
        <f>IFERROR(__xludf.DUMMYFUNCTION("REGEXREPLACE(A634, ""^https?://(www\.)?|/.*"", """")"),"experts-comptables.org")</f>
        <v>experts-comptables.org</v>
      </c>
      <c r="C634" s="1" t="s">
        <v>8</v>
      </c>
      <c r="D634" s="1">
        <v>1.0</v>
      </c>
      <c r="E634" s="1" t="s">
        <v>38</v>
      </c>
      <c r="F634" s="1" t="s">
        <v>10</v>
      </c>
      <c r="G634" s="5" t="str">
        <f t="array" ref="G634">XLOOKUP(B634,LFinder!A:A,LFinder!B:B,"absent des plateformes")</f>
        <v>absent des plateformes</v>
      </c>
    </row>
    <row r="635">
      <c r="A635" s="3" t="s">
        <v>758</v>
      </c>
      <c r="B635" s="4" t="str">
        <f>IFERROR(__xludf.DUMMYFUNCTION("REGEXREPLACE(A635, ""^https?://(www\.)?|/.*"", """")"),"onisep.fr")</f>
        <v>onisep.fr</v>
      </c>
      <c r="C635" s="1" t="s">
        <v>8</v>
      </c>
      <c r="D635" s="1">
        <v>1.0</v>
      </c>
      <c r="E635" s="1" t="s">
        <v>38</v>
      </c>
      <c r="F635" s="1" t="s">
        <v>10</v>
      </c>
      <c r="G635" s="5" t="str">
        <f t="array" ref="G635">XLOOKUP(B635,LFinder!A:A,LFinder!B:B,"absent des plateformes")</f>
        <v>absent des plateformes</v>
      </c>
    </row>
    <row r="636">
      <c r="A636" s="3" t="s">
        <v>759</v>
      </c>
      <c r="B636" s="4" t="str">
        <f>IFERROR(__xludf.DUMMYFUNCTION("REGEXREPLACE(A636, ""^https?://(www\.)?|/.*"", """")"),"bfc.experts-comptables.fr")</f>
        <v>bfc.experts-comptables.fr</v>
      </c>
      <c r="C636" s="1" t="s">
        <v>8</v>
      </c>
      <c r="D636" s="1">
        <v>1.0</v>
      </c>
      <c r="E636" s="1" t="s">
        <v>38</v>
      </c>
      <c r="F636" s="1" t="s">
        <v>10</v>
      </c>
      <c r="G636" s="5" t="str">
        <f t="array" ref="G636">XLOOKUP(B636,LFinder!A:A,LFinder!B:B,"absent des plateformes")</f>
        <v>absent des plateformes</v>
      </c>
    </row>
    <row r="637">
      <c r="A637" s="3" t="s">
        <v>760</v>
      </c>
      <c r="B637" s="4" t="str">
        <f>IFERROR(__xludf.DUMMYFUNCTION("REGEXREPLACE(A637, ""^https?://(www\.)?|/.*"", """")"),"ecoce.fr")</f>
        <v>ecoce.fr</v>
      </c>
      <c r="C637" s="1" t="s">
        <v>8</v>
      </c>
      <c r="D637" s="1">
        <v>1.0</v>
      </c>
      <c r="E637" s="1" t="s">
        <v>38</v>
      </c>
      <c r="F637" s="1" t="s">
        <v>10</v>
      </c>
      <c r="G637" s="5" t="str">
        <f t="array" ref="G637">XLOOKUP(B637,LFinder!A:A,LFinder!B:B,"absent des plateformes")</f>
        <v>absent des plateformes</v>
      </c>
    </row>
    <row r="638">
      <c r="A638" s="3" t="s">
        <v>761</v>
      </c>
      <c r="B638" s="4" t="str">
        <f>IFERROR(__xludf.DUMMYFUNCTION("REGEXREPLACE(A638, ""^https?://(www\.)?|/.*"", """")"),"ecoce.fr")</f>
        <v>ecoce.fr</v>
      </c>
      <c r="C638" s="1" t="s">
        <v>8</v>
      </c>
      <c r="D638" s="1">
        <v>1.0</v>
      </c>
      <c r="E638" s="1" t="s">
        <v>325</v>
      </c>
      <c r="F638" s="1" t="s">
        <v>10</v>
      </c>
      <c r="G638" s="5" t="str">
        <f t="array" ref="G638">XLOOKUP(B638,LFinder!A:A,LFinder!B:B,"absent des plateformes")</f>
        <v>absent des plateformes</v>
      </c>
    </row>
    <row r="639">
      <c r="A639" s="3" t="s">
        <v>762</v>
      </c>
      <c r="B639" s="4" t="str">
        <f>IFERROR(__xludf.DUMMYFUNCTION("REGEXREPLACE(A639, ""^https?://(www\.)?|/.*"", """")"),"arcgestion.fr")</f>
        <v>arcgestion.fr</v>
      </c>
      <c r="C639" s="1" t="s">
        <v>8</v>
      </c>
      <c r="D639" s="1">
        <v>1.0</v>
      </c>
      <c r="E639" s="1" t="s">
        <v>325</v>
      </c>
      <c r="F639" s="1" t="s">
        <v>10</v>
      </c>
      <c r="G639" s="5" t="str">
        <f t="array" ref="G639">XLOOKUP(B639,LFinder!A:A,LFinder!B:B,"absent des plateformes")</f>
        <v>absent des plateformes</v>
      </c>
    </row>
    <row r="640">
      <c r="A640" s="3" t="s">
        <v>763</v>
      </c>
      <c r="B640" s="4" t="str">
        <f>IFERROR(__xludf.DUMMYFUNCTION("REGEXREPLACE(A640, ""^https?://(www\.)?|/.*"", """")"),"cabinetbourgeon.fr")</f>
        <v>cabinetbourgeon.fr</v>
      </c>
      <c r="C640" s="1" t="s">
        <v>8</v>
      </c>
      <c r="D640" s="1">
        <v>1.0</v>
      </c>
      <c r="E640" s="1" t="s">
        <v>325</v>
      </c>
      <c r="F640" s="1" t="s">
        <v>10</v>
      </c>
      <c r="G640" s="5" t="str">
        <f t="array" ref="G640">XLOOKUP(B640,LFinder!A:A,LFinder!B:B,"absent des plateformes")</f>
        <v>absent des plateformes</v>
      </c>
    </row>
    <row r="641">
      <c r="A641" s="3" t="s">
        <v>764</v>
      </c>
      <c r="B641" s="4" t="str">
        <f>IFERROR(__xludf.DUMMYFUNCTION("REGEXREPLACE(A641, ""^https?://(www\.)?|/.*"", """")"),"taktik-informatique.fr")</f>
        <v>taktik-informatique.fr</v>
      </c>
      <c r="C641" s="1" t="s">
        <v>8</v>
      </c>
      <c r="D641" s="1">
        <v>1.0</v>
      </c>
      <c r="E641" s="1" t="s">
        <v>325</v>
      </c>
      <c r="F641" s="1" t="s">
        <v>10</v>
      </c>
      <c r="G641" s="5" t="str">
        <f t="array" ref="G641">XLOOKUP(B641,LFinder!A:A,LFinder!B:B,"absent des plateformes")</f>
        <v>absent des plateformes</v>
      </c>
    </row>
    <row r="642">
      <c r="A642" s="3" t="s">
        <v>765</v>
      </c>
      <c r="B642" s="4" t="str">
        <f>IFERROR(__xludf.DUMMYFUNCTION("REGEXREPLACE(A642, ""^https?://(www\.)?|/.*"", """")"),"facturation-electronique.fr")</f>
        <v>facturation-electronique.fr</v>
      </c>
      <c r="C642" s="1" t="s">
        <v>8</v>
      </c>
      <c r="D642" s="1">
        <v>1.0</v>
      </c>
      <c r="E642" s="1" t="s">
        <v>325</v>
      </c>
      <c r="F642" s="1" t="s">
        <v>10</v>
      </c>
      <c r="G642" s="5" t="str">
        <f t="array" ref="G642">XLOOKUP(B642,LFinder!A:A,LFinder!B:B,"absent des plateformes")</f>
        <v>absent des plateformes</v>
      </c>
    </row>
    <row r="643">
      <c r="A643" s="3" t="s">
        <v>766</v>
      </c>
      <c r="B643" s="4" t="str">
        <f>IFERROR(__xludf.DUMMYFUNCTION("REGEXREPLACE(A643, ""^https?://(www\.)?|/.*"", """")"),"declarpro.fr")</f>
        <v>declarpro.fr</v>
      </c>
      <c r="C643" s="1" t="s">
        <v>8</v>
      </c>
      <c r="D643" s="1">
        <v>1.0</v>
      </c>
      <c r="E643" s="1" t="s">
        <v>91</v>
      </c>
      <c r="F643" s="1" t="s">
        <v>10</v>
      </c>
      <c r="G643" s="5" t="str">
        <f t="array" ref="G643">XLOOKUP(B643,LFinder!A:A,LFinder!B:B,"absent des plateformes")</f>
        <v>absent des plateformes</v>
      </c>
    </row>
    <row r="644">
      <c r="A644" s="3" t="s">
        <v>767</v>
      </c>
      <c r="B644" s="4" t="str">
        <f>IFERROR(__xludf.DUMMYFUNCTION("REGEXREPLACE(A644, ""^https?://(www\.)?|/.*"", """")"),"comparateur-efacturation.fr")</f>
        <v>comparateur-efacturation.fr</v>
      </c>
      <c r="C644" s="1" t="s">
        <v>8</v>
      </c>
      <c r="D644" s="1">
        <v>1.0</v>
      </c>
      <c r="E644" s="1" t="s">
        <v>33</v>
      </c>
      <c r="F644" s="1" t="s">
        <v>54</v>
      </c>
      <c r="G644" s="5" t="str">
        <f t="array" ref="G644">XLOOKUP(B644,LFinder!A:A,LFinder!B:B,"absent des plateformes")</f>
        <v>absent des plateformes</v>
      </c>
    </row>
    <row r="645">
      <c r="A645" s="3" t="s">
        <v>768</v>
      </c>
      <c r="B645" s="4" t="str">
        <f>IFERROR(__xludf.DUMMYFUNCTION("REGEXREPLACE(A645, ""^https?://(www\.)?|/.*"", """")"),"comparateur-efacturation.fr")</f>
        <v>comparateur-efacturation.fr</v>
      </c>
      <c r="C645" s="1" t="s">
        <v>8</v>
      </c>
      <c r="D645" s="1">
        <v>1.0</v>
      </c>
      <c r="E645" s="1" t="s">
        <v>33</v>
      </c>
      <c r="F645" s="1" t="s">
        <v>10</v>
      </c>
      <c r="G645" s="5" t="str">
        <f t="array" ref="G645">XLOOKUP(B645,LFinder!A:A,LFinder!B:B,"absent des plateformes")</f>
        <v>absent des plateformes</v>
      </c>
    </row>
    <row r="646">
      <c r="A646" s="3" t="s">
        <v>769</v>
      </c>
      <c r="B646" s="4" t="str">
        <f>IFERROR(__xludf.DUMMYFUNCTION("REGEXREPLACE(A646, ""^https?://(www\.)?|/.*"", """")"),"comparateur-efacturation.fr")</f>
        <v>comparateur-efacturation.fr</v>
      </c>
      <c r="C646" s="1" t="s">
        <v>8</v>
      </c>
      <c r="D646" s="1">
        <v>1.0</v>
      </c>
      <c r="E646" s="1" t="s">
        <v>325</v>
      </c>
      <c r="F646" s="1" t="s">
        <v>10</v>
      </c>
      <c r="G646" s="5" t="str">
        <f t="array" ref="G646">XLOOKUP(B646,LFinder!A:A,LFinder!B:B,"absent des plateformes")</f>
        <v>absent des plateformes</v>
      </c>
    </row>
    <row r="647">
      <c r="A647" s="3" t="s">
        <v>770</v>
      </c>
      <c r="B647" s="4" t="str">
        <f>IFERROR(__xludf.DUMMYFUNCTION("REGEXREPLACE(A647, ""^https?://(www\.)?|/.*"", """")"),"cogep.fr")</f>
        <v>cogep.fr</v>
      </c>
      <c r="C647" s="1" t="s">
        <v>8</v>
      </c>
      <c r="D647" s="1">
        <v>1.0</v>
      </c>
      <c r="E647" s="1" t="s">
        <v>36</v>
      </c>
      <c r="F647" s="1" t="s">
        <v>10</v>
      </c>
      <c r="G647" s="5" t="str">
        <f t="array" ref="G647">XLOOKUP(B647,LFinder!A:A,LFinder!B:B,"absent des plateformes")</f>
        <v>absent des plateformes</v>
      </c>
    </row>
    <row r="648">
      <c r="A648" s="3" t="s">
        <v>771</v>
      </c>
      <c r="B648" s="4" t="str">
        <f>IFERROR(__xludf.DUMMYFUNCTION("REGEXREPLACE(A648, ""^https?://(www\.)?|/.*"", """")"),"hlp-audit.fr")</f>
        <v>hlp-audit.fr</v>
      </c>
      <c r="C648" s="1" t="s">
        <v>8</v>
      </c>
      <c r="D648" s="1">
        <v>1.0</v>
      </c>
      <c r="E648" s="1" t="s">
        <v>323</v>
      </c>
      <c r="F648" s="1" t="s">
        <v>10</v>
      </c>
      <c r="G648" s="5" t="str">
        <f t="array" ref="G648">XLOOKUP(B648,LFinder!A:A,LFinder!B:B,"absent des plateformes")</f>
        <v>absent des plateformes</v>
      </c>
    </row>
    <row r="649">
      <c r="A649" s="3" t="s">
        <v>772</v>
      </c>
      <c r="B649" s="4" t="str">
        <f>IFERROR(__xludf.DUMMYFUNCTION("REGEXREPLACE(A649, ""^https?://(www\.)?|/.*"", """")"),"annolis.com")</f>
        <v>annolis.com</v>
      </c>
      <c r="C649" s="1" t="s">
        <v>8</v>
      </c>
      <c r="D649" s="1">
        <v>1.0</v>
      </c>
      <c r="E649" s="1" t="s">
        <v>20</v>
      </c>
      <c r="F649" s="1" t="s">
        <v>10</v>
      </c>
      <c r="G649" s="5" t="str">
        <f t="array" ref="G649">XLOOKUP(B649,LFinder!A:A,LFinder!B:B,"absent des plateformes")</f>
        <v>absent des plateformes</v>
      </c>
    </row>
    <row r="650">
      <c r="A650" s="3" t="s">
        <v>773</v>
      </c>
      <c r="B650" s="4" t="str">
        <f>IFERROR(__xludf.DUMMYFUNCTION("REGEXREPLACE(A650, ""^https?://(www\.)?|/.*"", """")"),"fidaquitaine.com")</f>
        <v>fidaquitaine.com</v>
      </c>
      <c r="C650" s="1" t="s">
        <v>8</v>
      </c>
      <c r="D650" s="1">
        <v>1.0</v>
      </c>
      <c r="E650" s="1" t="s">
        <v>20</v>
      </c>
      <c r="F650" s="1" t="s">
        <v>10</v>
      </c>
      <c r="G650" s="5" t="str">
        <f t="array" ref="G650">XLOOKUP(B650,LFinder!A:A,LFinder!B:B,"absent des plateformes")</f>
        <v>absent des plateformes</v>
      </c>
    </row>
    <row r="651">
      <c r="A651" s="3" t="s">
        <v>774</v>
      </c>
      <c r="B651" s="4" t="str">
        <f>IFERROR(__xludf.DUMMYFUNCTION("REGEXREPLACE(A651, ""^https?://(www\.)?|/.*"", """")"),"companeo.com")</f>
        <v>companeo.com</v>
      </c>
      <c r="C651" s="1" t="s">
        <v>8</v>
      </c>
      <c r="D651" s="1">
        <v>1.0</v>
      </c>
      <c r="E651" s="1" t="s">
        <v>31</v>
      </c>
      <c r="F651" s="1" t="s">
        <v>10</v>
      </c>
      <c r="G651" s="5" t="str">
        <f t="array" ref="G651">XLOOKUP(B651,LFinder!A:A,LFinder!B:B,"absent des plateformes")</f>
        <v>absent des plateformes</v>
      </c>
    </row>
    <row r="652">
      <c r="A652" s="3" t="s">
        <v>775</v>
      </c>
      <c r="B652" s="4" t="str">
        <f>IFERROR(__xludf.DUMMYFUNCTION("REGEXREPLACE(A652, ""^https?://(www\.)?|/.*"", """")"),"companeo.com")</f>
        <v>companeo.com</v>
      </c>
      <c r="C652" s="1" t="s">
        <v>8</v>
      </c>
      <c r="D652" s="1">
        <v>1.0</v>
      </c>
      <c r="E652" s="1" t="s">
        <v>45</v>
      </c>
      <c r="F652" s="1" t="s">
        <v>10</v>
      </c>
      <c r="G652" s="5" t="str">
        <f t="array" ref="G652">XLOOKUP(B652,LFinder!A:A,LFinder!B:B,"absent des plateformes")</f>
        <v>absent des plateformes</v>
      </c>
    </row>
    <row r="653">
      <c r="A653" s="3" t="s">
        <v>776</v>
      </c>
      <c r="B653" s="4" t="str">
        <f>IFERROR(__xludf.DUMMYFUNCTION("REGEXREPLACE(A653, ""^https?://(www\.)?|/.*"", """")"),"companeo.com")</f>
        <v>companeo.com</v>
      </c>
      <c r="C653" s="1" t="s">
        <v>8</v>
      </c>
      <c r="D653" s="1">
        <v>1.0</v>
      </c>
      <c r="E653" s="1" t="s">
        <v>45</v>
      </c>
      <c r="F653" s="1" t="s">
        <v>10</v>
      </c>
      <c r="G653" s="5" t="str">
        <f t="array" ref="G653">XLOOKUP(B653,LFinder!A:A,LFinder!B:B,"absent des plateformes")</f>
        <v>absent des plateformes</v>
      </c>
    </row>
    <row r="654">
      <c r="A654" s="3" t="s">
        <v>777</v>
      </c>
      <c r="B654" s="4" t="str">
        <f>IFERROR(__xludf.DUMMYFUNCTION("REGEXREPLACE(A654, ""^https?://(www\.)?|/.*"", """")"),"companeo.com")</f>
        <v>companeo.com</v>
      </c>
      <c r="C654" s="1" t="s">
        <v>8</v>
      </c>
      <c r="D654" s="1">
        <v>1.0</v>
      </c>
      <c r="E654" s="1" t="s">
        <v>38</v>
      </c>
      <c r="F654" s="1" t="s">
        <v>10</v>
      </c>
      <c r="G654" s="5" t="str">
        <f t="array" ref="G654">XLOOKUP(B654,LFinder!A:A,LFinder!B:B,"absent des plateformes")</f>
        <v>absent des plateformes</v>
      </c>
    </row>
    <row r="655">
      <c r="A655" s="3" t="s">
        <v>778</v>
      </c>
      <c r="B655" s="4" t="str">
        <f>IFERROR(__xludf.DUMMYFUNCTION("REGEXREPLACE(A655, ""^https?://(www\.)?|/.*"", """")"),"synkhor.fr")</f>
        <v>synkhor.fr</v>
      </c>
      <c r="C655" s="1" t="s">
        <v>8</v>
      </c>
      <c r="D655" s="1">
        <v>1.0</v>
      </c>
      <c r="E655" s="1" t="s">
        <v>98</v>
      </c>
      <c r="F655" s="1" t="s">
        <v>10</v>
      </c>
      <c r="G655" s="5" t="str">
        <f t="array" ref="G655">XLOOKUP(B655,LFinder!A:A,LFinder!B:B,"absent des plateformes")</f>
        <v>absent des plateformes</v>
      </c>
    </row>
    <row r="656">
      <c r="A656" s="3" t="s">
        <v>779</v>
      </c>
      <c r="B656" s="4" t="str">
        <f>IFERROR(__xludf.DUMMYFUNCTION("REGEXREPLACE(A656, ""^https?://(www\.)?|/.*"", """")"),"clicanoo.com")</f>
        <v>clicanoo.com</v>
      </c>
      <c r="C656" s="1" t="s">
        <v>8</v>
      </c>
      <c r="D656" s="1">
        <v>1.0</v>
      </c>
      <c r="E656" s="1" t="s">
        <v>98</v>
      </c>
      <c r="F656" s="1" t="s">
        <v>10</v>
      </c>
      <c r="G656" s="5" t="str">
        <f t="array" ref="G656">XLOOKUP(B656,LFinder!A:A,LFinder!B:B,"absent des plateformes")</f>
        <v>absent des plateformes</v>
      </c>
    </row>
    <row r="657">
      <c r="A657" s="3" t="s">
        <v>780</v>
      </c>
      <c r="B657" s="4" t="str">
        <f>IFERROR(__xludf.DUMMYFUNCTION("REGEXREPLACE(A657, ""^https?://(www\.)?|/.*"", """")"),"pom-solutions.fr")</f>
        <v>pom-solutions.fr</v>
      </c>
      <c r="C657" s="1" t="s">
        <v>8</v>
      </c>
      <c r="D657" s="1">
        <v>1.0</v>
      </c>
      <c r="E657" s="1" t="s">
        <v>98</v>
      </c>
      <c r="F657" s="1" t="s">
        <v>10</v>
      </c>
      <c r="G657" s="5" t="str">
        <f t="array" ref="G657">XLOOKUP(B657,LFinder!A:A,LFinder!B:B,"absent des plateformes")</f>
        <v>absent des plateformes</v>
      </c>
    </row>
    <row r="658">
      <c r="A658" s="3" t="s">
        <v>781</v>
      </c>
      <c r="B658" s="4" t="str">
        <f>IFERROR(__xludf.DUMMYFUNCTION("REGEXREPLACE(A658, ""^https?://(www\.)?|/.*"", """")"),"naviso.fr")</f>
        <v>naviso.fr</v>
      </c>
      <c r="C658" s="1" t="s">
        <v>8</v>
      </c>
      <c r="D658" s="1">
        <v>1.0</v>
      </c>
      <c r="E658" s="1" t="s">
        <v>91</v>
      </c>
      <c r="F658" s="1" t="s">
        <v>10</v>
      </c>
      <c r="G658" s="5" t="str">
        <f t="array" ref="G658">XLOOKUP(B658,LFinder!A:A,LFinder!B:B,"absent des plateformes")</f>
        <v>absent des plateformes</v>
      </c>
    </row>
    <row r="659">
      <c r="A659" s="3" t="s">
        <v>782</v>
      </c>
      <c r="B659" s="4" t="str">
        <f>IFERROR(__xludf.DUMMYFUNCTION("REGEXREPLACE(A659, ""^https?://(www\.)?|/.*"", """")"),"finom.co")</f>
        <v>finom.co</v>
      </c>
      <c r="C659" s="1" t="s">
        <v>8</v>
      </c>
      <c r="D659" s="1">
        <v>1.0</v>
      </c>
      <c r="E659" s="1" t="s">
        <v>12</v>
      </c>
      <c r="F659" s="1" t="s">
        <v>10</v>
      </c>
      <c r="G659" s="5" t="str">
        <f t="array" ref="G659">XLOOKUP(B659,LFinder!A:A,LFinder!B:B,"absent des plateformes")</f>
        <v>absent des plateformes</v>
      </c>
    </row>
    <row r="660">
      <c r="A660" s="3" t="s">
        <v>783</v>
      </c>
      <c r="B660" s="4" t="str">
        <f>IFERROR(__xludf.DUMMYFUNCTION("REGEXREPLACE(A660, ""^https?://(www\.)?|/.*"", """")"),"adopteunlogicielfrancais.fr")</f>
        <v>adopteunlogicielfrancais.fr</v>
      </c>
      <c r="C660" s="1" t="s">
        <v>8</v>
      </c>
      <c r="D660" s="1">
        <v>1.0</v>
      </c>
      <c r="E660" s="1" t="s">
        <v>12</v>
      </c>
      <c r="F660" s="1" t="s">
        <v>10</v>
      </c>
      <c r="G660" s="5" t="str">
        <f t="array" ref="G660">XLOOKUP(B660,LFinder!A:A,LFinder!B:B,"absent des plateformes")</f>
        <v>absent des plateformes</v>
      </c>
    </row>
    <row r="661">
      <c r="A661" s="3" t="s">
        <v>784</v>
      </c>
      <c r="B661" s="4" t="str">
        <f>IFERROR(__xludf.DUMMYFUNCTION("REGEXREPLACE(A661, ""^https?://(www\.)?|/.*"", """")"),"cabinet-icard.com")</f>
        <v>cabinet-icard.com</v>
      </c>
      <c r="C661" s="1" t="s">
        <v>8</v>
      </c>
      <c r="D661" s="1">
        <v>1.0</v>
      </c>
      <c r="E661" s="1" t="s">
        <v>736</v>
      </c>
      <c r="F661" s="1" t="s">
        <v>10</v>
      </c>
      <c r="G661" s="5" t="str">
        <f t="array" ref="G661">XLOOKUP(B661,LFinder!A:A,LFinder!B:B,"absent des plateformes")</f>
        <v>absent des plateformes</v>
      </c>
    </row>
    <row r="662">
      <c r="A662" s="3" t="s">
        <v>785</v>
      </c>
      <c r="B662" s="4" t="str">
        <f>IFERROR(__xludf.DUMMYFUNCTION("REGEXREPLACE(A662, ""^https?://(www\.)?|/.*"", """")"),"expert-comptable-saudec.fr")</f>
        <v>expert-comptable-saudec.fr</v>
      </c>
      <c r="C662" s="1" t="s">
        <v>8</v>
      </c>
      <c r="D662" s="1">
        <v>1.0</v>
      </c>
      <c r="E662" s="1" t="s">
        <v>38</v>
      </c>
      <c r="F662" s="1" t="s">
        <v>10</v>
      </c>
      <c r="G662" s="5" t="str">
        <f t="array" ref="G662">XLOOKUP(B662,LFinder!A:A,LFinder!B:B,"absent des plateformes")</f>
        <v>absent des plateformes</v>
      </c>
    </row>
    <row r="663">
      <c r="A663" s="3" t="s">
        <v>786</v>
      </c>
      <c r="B663" s="4" t="str">
        <f>IFERROR(__xludf.DUMMYFUNCTION("REGEXREPLACE(A663, ""^https?://(www\.)?|/.*"", """")"),"mc2-expertise.com")</f>
        <v>mc2-expertise.com</v>
      </c>
      <c r="C663" s="1" t="s">
        <v>8</v>
      </c>
      <c r="D663" s="1">
        <v>1.0</v>
      </c>
      <c r="E663" s="1" t="s">
        <v>38</v>
      </c>
      <c r="F663" s="1" t="s">
        <v>10</v>
      </c>
      <c r="G663" s="5" t="str">
        <f t="array" ref="G663">XLOOKUP(B663,LFinder!A:A,LFinder!B:B,"absent des plateformes")</f>
        <v>absent des plateformes</v>
      </c>
    </row>
    <row r="664">
      <c r="A664" s="3" t="s">
        <v>787</v>
      </c>
      <c r="B664" s="4" t="str">
        <f>IFERROR(__xludf.DUMMYFUNCTION("REGEXREPLACE(A664, ""^https?://(www\.)?|/.*"", """")"),"presse.economie.gouv.fr")</f>
        <v>presse.economie.gouv.fr</v>
      </c>
      <c r="C664" s="1" t="s">
        <v>8</v>
      </c>
      <c r="D664" s="1">
        <v>1.0</v>
      </c>
      <c r="E664" s="1" t="s">
        <v>33</v>
      </c>
      <c r="F664" s="1" t="s">
        <v>10</v>
      </c>
      <c r="G664" s="5" t="str">
        <f t="array" ref="G664">XLOOKUP(B664,LFinder!A:A,LFinder!B:B,"absent des plateformes")</f>
        <v>absent des plateformes</v>
      </c>
    </row>
    <row r="665">
      <c r="A665" s="3" t="s">
        <v>788</v>
      </c>
      <c r="B665" s="4" t="str">
        <f>IFERROR(__xludf.DUMMYFUNCTION("REGEXREPLACE(A665, ""^https?://(www\.)?|/.*"", """")"),"foxeet.fr")</f>
        <v>foxeet.fr</v>
      </c>
      <c r="C665" s="1" t="s">
        <v>8</v>
      </c>
      <c r="D665" s="1">
        <v>1.0</v>
      </c>
      <c r="E665" s="1" t="s">
        <v>33</v>
      </c>
      <c r="F665" s="1" t="s">
        <v>10</v>
      </c>
      <c r="G665" s="5" t="str">
        <f t="array" ref="G665">XLOOKUP(B665,LFinder!A:A,LFinder!B:B,"absent des plateformes")</f>
        <v>absent des plateformes</v>
      </c>
    </row>
    <row r="666">
      <c r="A666" s="3" t="s">
        <v>789</v>
      </c>
      <c r="B666" s="4" t="str">
        <f>IFERROR(__xludf.DUMMYFUNCTION("REGEXREPLACE(A666, ""^https?://(www\.)?|/.*"", """")"),"groupama.fr")</f>
        <v>groupama.fr</v>
      </c>
      <c r="C666" s="1" t="s">
        <v>8</v>
      </c>
      <c r="D666" s="1">
        <v>1.0</v>
      </c>
      <c r="E666" s="1" t="s">
        <v>63</v>
      </c>
      <c r="F666" s="1" t="s">
        <v>10</v>
      </c>
      <c r="G666" s="5" t="str">
        <f t="array" ref="G666">XLOOKUP(B666,LFinder!A:A,LFinder!B:B,"absent des plateformes")</f>
        <v>absent des plateformes</v>
      </c>
    </row>
    <row r="667">
      <c r="A667" s="3" t="s">
        <v>790</v>
      </c>
      <c r="B667" s="4" t="str">
        <f>IFERROR(__xludf.DUMMYFUNCTION("REGEXREPLACE(A667, ""^https?://(www\.)?|/.*"", """")"),"compagnie-fiduciaire.com")</f>
        <v>compagnie-fiduciaire.com</v>
      </c>
      <c r="C667" s="1" t="s">
        <v>8</v>
      </c>
      <c r="D667" s="1">
        <v>1.0</v>
      </c>
      <c r="E667" s="1" t="s">
        <v>325</v>
      </c>
      <c r="F667" s="1" t="s">
        <v>10</v>
      </c>
      <c r="G667" s="5" t="str">
        <f t="array" ref="G667">XLOOKUP(B667,LFinder!A:A,LFinder!B:B,"absent des plateformes")</f>
        <v>absent des plateformes</v>
      </c>
    </row>
    <row r="668">
      <c r="A668" s="3" t="s">
        <v>791</v>
      </c>
      <c r="B668" s="4" t="str">
        <f>IFERROR(__xludf.DUMMYFUNCTION("REGEXREPLACE(A668, ""^https?://(www\.)?|/.*"", """")"),"cerfrance-broceliande.fr")</f>
        <v>cerfrance-broceliande.fr</v>
      </c>
      <c r="C668" s="1" t="s">
        <v>8</v>
      </c>
      <c r="D668" s="1">
        <v>1.0</v>
      </c>
      <c r="E668" s="1" t="s">
        <v>66</v>
      </c>
      <c r="F668" s="1" t="s">
        <v>10</v>
      </c>
      <c r="G668" s="5" t="str">
        <f t="array" ref="G668">XLOOKUP(B668,LFinder!A:A,LFinder!B:B,"absent des plateformes")</f>
        <v>absent des plateformes</v>
      </c>
    </row>
    <row r="669">
      <c r="A669" s="3" t="s">
        <v>792</v>
      </c>
      <c r="B669" s="4" t="str">
        <f>IFERROR(__xludf.DUMMYFUNCTION("REGEXREPLACE(A669, ""^https?://(www\.)?|/.*"", """")"),"reservatoo.com")</f>
        <v>reservatoo.com</v>
      </c>
      <c r="C669" s="1" t="s">
        <v>50</v>
      </c>
      <c r="D669" s="1">
        <v>1.0</v>
      </c>
      <c r="E669" s="1" t="s">
        <v>66</v>
      </c>
      <c r="F669" s="1" t="s">
        <v>10</v>
      </c>
      <c r="G669" s="5" t="str">
        <f t="array" ref="G669">XLOOKUP(B669,LFinder!A:A,LFinder!B:B,"absent des plateformes")</f>
        <v>absent des plateformes</v>
      </c>
    </row>
    <row r="670">
      <c r="A670" s="3" t="s">
        <v>793</v>
      </c>
      <c r="B670" s="4" t="str">
        <f>IFERROR(__xludf.DUMMYFUNCTION("REGEXREPLACE(A670, ""^https?://(www\.)?|/.*"", """")"),"ebp.com")</f>
        <v>ebp.com</v>
      </c>
      <c r="C670" s="1" t="s">
        <v>8</v>
      </c>
      <c r="D670" s="1">
        <v>1.0</v>
      </c>
      <c r="E670" s="1" t="s">
        <v>82</v>
      </c>
      <c r="F670" s="1" t="s">
        <v>10</v>
      </c>
      <c r="G670" s="5" t="str">
        <f t="array" ref="G670">XLOOKUP(B670,LFinder!A:A,LFinder!B:B,"absent des plateformes")</f>
        <v>absent des plateformes</v>
      </c>
    </row>
    <row r="671">
      <c r="A671" s="3" t="s">
        <v>794</v>
      </c>
      <c r="B671" s="4" t="str">
        <f>IFERROR(__xludf.DUMMYFUNCTION("REGEXREPLACE(A671, ""^https?://(www\.)?|/.*"", """")"),"ebp.com")</f>
        <v>ebp.com</v>
      </c>
      <c r="C671" s="1" t="s">
        <v>50</v>
      </c>
      <c r="D671" s="1">
        <v>1.0</v>
      </c>
      <c r="E671" s="1" t="s">
        <v>66</v>
      </c>
      <c r="F671" s="1" t="s">
        <v>10</v>
      </c>
      <c r="G671" s="5" t="str">
        <f t="array" ref="G671">XLOOKUP(B671,LFinder!A:A,LFinder!B:B,"absent des plateformes")</f>
        <v>absent des plateformes</v>
      </c>
    </row>
    <row r="672">
      <c r="A672" s="3" t="s">
        <v>795</v>
      </c>
      <c r="B672" s="4" t="str">
        <f>IFERROR(__xludf.DUMMYFUNCTION("REGEXREPLACE(A672, ""^https?://(www\.)?|/.*"", """")"),"ebp.com")</f>
        <v>ebp.com</v>
      </c>
      <c r="C672" s="1" t="s">
        <v>50</v>
      </c>
      <c r="D672" s="1">
        <v>1.0</v>
      </c>
      <c r="E672" s="1" t="s">
        <v>66</v>
      </c>
      <c r="F672" s="1" t="s">
        <v>10</v>
      </c>
      <c r="G672" s="5" t="str">
        <f t="array" ref="G672">XLOOKUP(B672,LFinder!A:A,LFinder!B:B,"absent des plateformes")</f>
        <v>absent des plateformes</v>
      </c>
    </row>
    <row r="673">
      <c r="A673" s="3" t="s">
        <v>796</v>
      </c>
      <c r="B673" s="4" t="str">
        <f>IFERROR(__xludf.DUMMYFUNCTION("REGEXREPLACE(A673, ""^https?://(www\.)?|/.*"", """")"),"treso2.com")</f>
        <v>treso2.com</v>
      </c>
      <c r="C673" s="1" t="s">
        <v>50</v>
      </c>
      <c r="D673" s="1">
        <v>1.0</v>
      </c>
      <c r="E673" s="1" t="s">
        <v>66</v>
      </c>
      <c r="F673" s="1" t="s">
        <v>10</v>
      </c>
      <c r="G673" s="5" t="str">
        <f t="array" ref="G673">XLOOKUP(B673,LFinder!A:A,LFinder!B:B,"absent des plateformes")</f>
        <v>absent des plateformes</v>
      </c>
    </row>
    <row r="674">
      <c r="A674" s="3" t="s">
        <v>797</v>
      </c>
      <c r="B674" s="4" t="str">
        <f>IFERROR(__xludf.DUMMYFUNCTION("REGEXREPLACE(A674, ""^https?://(www\.)?|/.*"", """")"),"ultranova.fr")</f>
        <v>ultranova.fr</v>
      </c>
      <c r="C674" s="1" t="s">
        <v>50</v>
      </c>
      <c r="D674" s="1">
        <v>1.0</v>
      </c>
      <c r="E674" s="1" t="s">
        <v>66</v>
      </c>
      <c r="F674" s="1" t="s">
        <v>10</v>
      </c>
      <c r="G674" s="5" t="str">
        <f t="array" ref="G674">XLOOKUP(B674,LFinder!A:A,LFinder!B:B,"absent des plateformes")</f>
        <v>absent des plateformes</v>
      </c>
    </row>
    <row r="675">
      <c r="A675" s="3" t="s">
        <v>798</v>
      </c>
      <c r="B675" s="4" t="str">
        <f>IFERROR(__xludf.DUMMYFUNCTION("REGEXREPLACE(A675, ""^https?://(www\.)?|/.*"", """")"),"telephone.city")</f>
        <v>telephone.city</v>
      </c>
      <c r="C675" s="1" t="s">
        <v>8</v>
      </c>
      <c r="D675" s="1">
        <v>1.0</v>
      </c>
      <c r="E675" s="1" t="s">
        <v>736</v>
      </c>
      <c r="F675" s="1" t="s">
        <v>10</v>
      </c>
      <c r="G675" s="5" t="str">
        <f t="array" ref="G675">XLOOKUP(B675,LFinder!A:A,LFinder!B:B,"absent des plateformes")</f>
        <v>absent des plateformes</v>
      </c>
    </row>
    <row r="676">
      <c r="A676" s="3" t="s">
        <v>799</v>
      </c>
      <c r="B676" s="4" t="str">
        <f>IFERROR(__xludf.DUMMYFUNCTION("REGEXREPLACE(A676, ""^https?://(www\.)?|/.*"", """")"),"cabinet-aes.fr")</f>
        <v>cabinet-aes.fr</v>
      </c>
      <c r="C676" s="1" t="s">
        <v>8</v>
      </c>
      <c r="D676" s="1">
        <v>1.0</v>
      </c>
      <c r="E676" s="1" t="s">
        <v>736</v>
      </c>
      <c r="F676" s="1" t="s">
        <v>10</v>
      </c>
      <c r="G676" s="5" t="str">
        <f t="array" ref="G676">XLOOKUP(B676,LFinder!A:A,LFinder!B:B,"absent des plateformes")</f>
        <v>absent des plateformes</v>
      </c>
    </row>
    <row r="677">
      <c r="A677" s="3" t="s">
        <v>800</v>
      </c>
      <c r="B677" s="4" t="str">
        <f>IFERROR(__xludf.DUMMYFUNCTION("REGEXREPLACE(A677, ""^https?://(www\.)?|/.*"", """")"),"journal-economique.fr")</f>
        <v>journal-economique.fr</v>
      </c>
      <c r="C677" s="1" t="s">
        <v>8</v>
      </c>
      <c r="D677" s="1">
        <v>1.0</v>
      </c>
      <c r="E677" s="1" t="s">
        <v>736</v>
      </c>
      <c r="F677" s="1" t="s">
        <v>10</v>
      </c>
      <c r="G677" s="5" t="str">
        <f t="array" ref="G677">XLOOKUP(B677,LFinder!A:A,LFinder!B:B,"absent des plateformes")</f>
        <v>absent des plateformes</v>
      </c>
    </row>
    <row r="678">
      <c r="A678" s="3" t="s">
        <v>801</v>
      </c>
      <c r="B678" s="4" t="str">
        <f>IFERROR(__xludf.DUMMYFUNCTION("REGEXREPLACE(A678, ""^https?://(www\.)?|/.*"", """")"),"compteo.fr")</f>
        <v>compteo.fr</v>
      </c>
      <c r="C678" s="1" t="s">
        <v>8</v>
      </c>
      <c r="D678" s="1">
        <v>1.0</v>
      </c>
      <c r="E678" s="1" t="s">
        <v>736</v>
      </c>
      <c r="F678" s="1" t="s">
        <v>10</v>
      </c>
      <c r="G678" s="5" t="str">
        <f t="array" ref="G678">XLOOKUP(B678,LFinder!A:A,LFinder!B:B,"absent des plateformes")</f>
        <v>absent des plateformes</v>
      </c>
    </row>
    <row r="679">
      <c r="A679" s="3" t="s">
        <v>802</v>
      </c>
      <c r="B679" s="4" t="str">
        <f>IFERROR(__xludf.DUMMYFUNCTION("REGEXREPLACE(A679, ""^https?://(www\.)?|/.*"", """")"),"compteo.fr")</f>
        <v>compteo.fr</v>
      </c>
      <c r="C679" s="1" t="s">
        <v>8</v>
      </c>
      <c r="D679" s="1">
        <v>1.0</v>
      </c>
      <c r="E679" s="1" t="s">
        <v>736</v>
      </c>
      <c r="F679" s="1" t="s">
        <v>10</v>
      </c>
      <c r="G679" s="5" t="str">
        <f t="array" ref="G679">XLOOKUP(B679,LFinder!A:A,LFinder!B:B,"absent des plateformes")</f>
        <v>absent des plateformes</v>
      </c>
    </row>
    <row r="680">
      <c r="A680" s="3" t="s">
        <v>803</v>
      </c>
      <c r="B680" s="4" t="str">
        <f>IFERROR(__xludf.DUMMYFUNCTION("REGEXREPLACE(A680, ""^https?://(www\.)?|/.*"", """")"),"compteo.fr")</f>
        <v>compteo.fr</v>
      </c>
      <c r="C680" s="1" t="s">
        <v>8</v>
      </c>
      <c r="D680" s="1">
        <v>1.0</v>
      </c>
      <c r="E680" s="1" t="s">
        <v>736</v>
      </c>
      <c r="F680" s="1" t="s">
        <v>10</v>
      </c>
      <c r="G680" s="5" t="str">
        <f t="array" ref="G680">XLOOKUP(B680,LFinder!A:A,LFinder!B:B,"absent des plateformes")</f>
        <v>absent des plateformes</v>
      </c>
    </row>
    <row r="681">
      <c r="A681" s="3" t="s">
        <v>804</v>
      </c>
      <c r="B681" s="4" t="str">
        <f>IFERROR(__xludf.DUMMYFUNCTION("REGEXREPLACE(A681, ""^https?://(www\.)?|/.*"", """")"),"vaucluseo.fr")</f>
        <v>vaucluseo.fr</v>
      </c>
      <c r="C681" s="1" t="s">
        <v>8</v>
      </c>
      <c r="D681" s="1">
        <v>1.0</v>
      </c>
      <c r="E681" s="1" t="s">
        <v>736</v>
      </c>
      <c r="F681" s="1" t="s">
        <v>10</v>
      </c>
      <c r="G681" s="5" t="str">
        <f t="array" ref="G681">XLOOKUP(B681,LFinder!A:A,LFinder!B:B,"absent des plateformes")</f>
        <v>absent des plateformes</v>
      </c>
    </row>
    <row r="682">
      <c r="A682" s="3" t="s">
        <v>805</v>
      </c>
      <c r="B682" s="4" t="str">
        <f>IFERROR(__xludf.DUMMYFUNCTION("REGEXREPLACE(A682, ""^https?://(www\.)?|/.*"", """")"),"cabinet-helion-conseil.fr")</f>
        <v>cabinet-helion-conseil.fr</v>
      </c>
      <c r="C682" s="1" t="s">
        <v>8</v>
      </c>
      <c r="D682" s="1">
        <v>1.0</v>
      </c>
      <c r="E682" s="1" t="s">
        <v>736</v>
      </c>
      <c r="F682" s="1" t="s">
        <v>10</v>
      </c>
      <c r="G682" s="5" t="str">
        <f t="array" ref="G682">XLOOKUP(B682,LFinder!A:A,LFinder!B:B,"absent des plateformes")</f>
        <v>absent des plateformes</v>
      </c>
    </row>
    <row r="683">
      <c r="A683" s="3" t="s">
        <v>806</v>
      </c>
      <c r="B683" s="4" t="str">
        <f>IFERROR(__xludf.DUMMYFUNCTION("REGEXREPLACE(A683, ""^https?://(www\.)?|/.*"", """")"),"agences.fiducial.fr")</f>
        <v>agences.fiducial.fr</v>
      </c>
      <c r="C683" s="1" t="s">
        <v>8</v>
      </c>
      <c r="D683" s="1">
        <v>1.0</v>
      </c>
      <c r="E683" s="1" t="s">
        <v>38</v>
      </c>
      <c r="F683" s="1" t="s">
        <v>54</v>
      </c>
      <c r="G683" s="5" t="str">
        <f t="array" ref="G683">XLOOKUP(B683,LFinder!A:A,LFinder!B:B,"absent des plateformes")</f>
        <v>absent des plateformes</v>
      </c>
    </row>
    <row r="684">
      <c r="A684" s="3" t="s">
        <v>807</v>
      </c>
      <c r="B684" s="4" t="str">
        <f>IFERROR(__xludf.DUMMYFUNCTION("REGEXREPLACE(A684, ""^https?://(www\.)?|/.*"", """")"),"agences.fiducial.fr")</f>
        <v>agences.fiducial.fr</v>
      </c>
      <c r="C684" s="1" t="s">
        <v>8</v>
      </c>
      <c r="D684" s="1">
        <v>1.0</v>
      </c>
      <c r="E684" s="1" t="s">
        <v>736</v>
      </c>
      <c r="F684" s="1" t="s">
        <v>54</v>
      </c>
      <c r="G684" s="5" t="str">
        <f t="array" ref="G684">XLOOKUP(B684,LFinder!A:A,LFinder!B:B,"absent des plateformes")</f>
        <v>absent des plateformes</v>
      </c>
    </row>
    <row r="685">
      <c r="A685" s="3" t="s">
        <v>808</v>
      </c>
      <c r="B685" s="4" t="str">
        <f>IFERROR(__xludf.DUMMYFUNCTION("REGEXREPLACE(A685, ""^https?://(www\.)?|/.*"", """")"),"chaire-dami.fr")</f>
        <v>chaire-dami.fr</v>
      </c>
      <c r="C685" s="1" t="s">
        <v>8</v>
      </c>
      <c r="D685" s="1">
        <v>1.0</v>
      </c>
      <c r="E685" s="1" t="s">
        <v>63</v>
      </c>
      <c r="F685" s="1" t="s">
        <v>10</v>
      </c>
      <c r="G685" s="5" t="str">
        <f t="array" ref="G685">XLOOKUP(B685,LFinder!A:A,LFinder!B:B,"absent des plateformes")</f>
        <v>absent des plateformes</v>
      </c>
    </row>
    <row r="686">
      <c r="A686" s="3" t="s">
        <v>809</v>
      </c>
      <c r="B686" s="4" t="str">
        <f>IFERROR(__xludf.DUMMYFUNCTION("REGEXREPLACE(A686, ""^https?://(www\.)?|/.*"", """")"),"cba-france.com")</f>
        <v>cba-france.com</v>
      </c>
      <c r="C686" s="1" t="s">
        <v>8</v>
      </c>
      <c r="D686" s="1">
        <v>1.0</v>
      </c>
      <c r="E686" s="1" t="s">
        <v>63</v>
      </c>
      <c r="F686" s="1" t="s">
        <v>10</v>
      </c>
      <c r="G686" s="5" t="str">
        <f t="array" ref="G686">XLOOKUP(B686,LFinder!A:A,LFinder!B:B,"absent des plateformes")</f>
        <v>absent des plateformes</v>
      </c>
    </row>
    <row r="687">
      <c r="A687" s="3" t="s">
        <v>810</v>
      </c>
      <c r="B687" s="4" t="str">
        <f>IFERROR(__xludf.DUMMYFUNCTION("REGEXREPLACE(A687, ""^https?://(www\.)?|/.*"", """")"),"klesia.fr")</f>
        <v>klesia.fr</v>
      </c>
      <c r="C687" s="1" t="s">
        <v>8</v>
      </c>
      <c r="D687" s="1">
        <v>1.0</v>
      </c>
      <c r="E687" s="1" t="s">
        <v>63</v>
      </c>
      <c r="F687" s="1" t="s">
        <v>10</v>
      </c>
      <c r="G687" s="5" t="str">
        <f t="array" ref="G687">XLOOKUP(B687,LFinder!A:A,LFinder!B:B,"absent des plateformes")</f>
        <v>absent des plateformes</v>
      </c>
    </row>
    <row r="688">
      <c r="A688" s="3" t="s">
        <v>811</v>
      </c>
      <c r="B688" s="4" t="str">
        <f>IFERROR(__xludf.DUMMYFUNCTION("REGEXREPLACE(A688, ""^https?://(www\.)?|/.*"", """")"),"analyse-retraite.fr")</f>
        <v>analyse-retraite.fr</v>
      </c>
      <c r="C688" s="1" t="s">
        <v>8</v>
      </c>
      <c r="D688" s="1">
        <v>1.0</v>
      </c>
      <c r="E688" s="1" t="s">
        <v>61</v>
      </c>
      <c r="F688" s="1" t="s">
        <v>10</v>
      </c>
      <c r="G688" s="5" t="str">
        <f t="array" ref="G688">XLOOKUP(B688,LFinder!A:A,LFinder!B:B,"absent des plateformes")</f>
        <v>absent des plateformes</v>
      </c>
    </row>
    <row r="689">
      <c r="A689" s="3" t="s">
        <v>812</v>
      </c>
      <c r="B689" s="4" t="str">
        <f>IFERROR(__xludf.DUMMYFUNCTION("REGEXREPLACE(A689, ""^https?://(www\.)?|/.*"", """")"),"analyse-retraite.fr")</f>
        <v>analyse-retraite.fr</v>
      </c>
      <c r="C689" s="1" t="s">
        <v>8</v>
      </c>
      <c r="D689" s="1">
        <v>1.0</v>
      </c>
      <c r="E689" s="1" t="s">
        <v>507</v>
      </c>
      <c r="F689" s="1" t="s">
        <v>10</v>
      </c>
      <c r="G689" s="5" t="str">
        <f t="array" ref="G689">XLOOKUP(B689,LFinder!A:A,LFinder!B:B,"absent des plateformes")</f>
        <v>absent des plateformes</v>
      </c>
    </row>
    <row r="690">
      <c r="A690" s="3" t="s">
        <v>813</v>
      </c>
      <c r="B690" s="4" t="str">
        <f>IFERROR(__xludf.DUMMYFUNCTION("REGEXREPLACE(A690, ""^https?://(www\.)?|/.*"", """")"),"info-retraite.fr")</f>
        <v>info-retraite.fr</v>
      </c>
      <c r="C690" s="1" t="s">
        <v>8</v>
      </c>
      <c r="D690" s="1">
        <v>1.0</v>
      </c>
      <c r="E690" s="1" t="s">
        <v>507</v>
      </c>
      <c r="F690" s="1" t="s">
        <v>10</v>
      </c>
      <c r="G690" s="5" t="str">
        <f t="array" ref="G690">XLOOKUP(B690,LFinder!A:A,LFinder!B:B,"absent des plateformes")</f>
        <v>absent des plateformes</v>
      </c>
    </row>
    <row r="691">
      <c r="A691" s="3" t="s">
        <v>814</v>
      </c>
      <c r="B691" s="4" t="str">
        <f>IFERROR(__xludf.DUMMYFUNCTION("REGEXREPLACE(A691, ""^https?://(www\.)?|/.*"", """")"),"retraite-conseils.fr")</f>
        <v>retraite-conseils.fr</v>
      </c>
      <c r="C691" s="1" t="s">
        <v>8</v>
      </c>
      <c r="D691" s="1">
        <v>1.0</v>
      </c>
      <c r="E691" s="1" t="s">
        <v>507</v>
      </c>
      <c r="F691" s="1" t="s">
        <v>10</v>
      </c>
      <c r="G691" s="5" t="str">
        <f t="array" ref="G691">XLOOKUP(B691,LFinder!A:A,LFinder!B:B,"absent des plateformes")</f>
        <v>absent des plateformes</v>
      </c>
    </row>
    <row r="692">
      <c r="A692" s="3" t="s">
        <v>815</v>
      </c>
      <c r="B692" s="4" t="str">
        <f>IFERROR(__xludf.DUMMYFUNCTION("REGEXREPLACE(A692, ""^https?://(www\.)?|/.*"", """")"),"retraite-conseils.fr")</f>
        <v>retraite-conseils.fr</v>
      </c>
      <c r="C692" s="1" t="s">
        <v>8</v>
      </c>
      <c r="D692" s="1">
        <v>1.0</v>
      </c>
      <c r="E692" s="1" t="s">
        <v>507</v>
      </c>
      <c r="F692" s="1" t="s">
        <v>10</v>
      </c>
      <c r="G692" s="5" t="str">
        <f t="array" ref="G692">XLOOKUP(B692,LFinder!A:A,LFinder!B:B,"absent des plateformes")</f>
        <v>absent des plateformes</v>
      </c>
    </row>
    <row r="693">
      <c r="A693" s="3" t="s">
        <v>816</v>
      </c>
      <c r="B693" s="4" t="str">
        <f>IFERROR(__xludf.DUMMYFUNCTION("REGEXREPLACE(A693, ""^https?://(www\.)?|/.*"", """")"),"go.sellsy.com")</f>
        <v>go.sellsy.com</v>
      </c>
      <c r="C693" s="1" t="s">
        <v>8</v>
      </c>
      <c r="D693" s="1">
        <v>1.0</v>
      </c>
      <c r="E693" s="1" t="s">
        <v>91</v>
      </c>
      <c r="F693" s="1" t="s">
        <v>10</v>
      </c>
      <c r="G693" s="5" t="str">
        <f t="array" ref="G693">XLOOKUP(B693,LFinder!A:A,LFinder!B:B,"absent des plateformes")</f>
        <v>absent des plateformes</v>
      </c>
    </row>
    <row r="694">
      <c r="A694" s="3" t="s">
        <v>817</v>
      </c>
      <c r="B694" s="4" t="str">
        <f>IFERROR(__xludf.DUMMYFUNCTION("REGEXREPLACE(A694, ""^https?://(www\.)?|/.*"", """")"),"go.sellsy.com")</f>
        <v>go.sellsy.com</v>
      </c>
      <c r="C694" s="1" t="s">
        <v>8</v>
      </c>
      <c r="D694" s="1">
        <v>1.0</v>
      </c>
      <c r="E694" s="1" t="s">
        <v>91</v>
      </c>
      <c r="F694" s="1" t="s">
        <v>10</v>
      </c>
      <c r="G694" s="5" t="str">
        <f t="array" ref="G694">XLOOKUP(B694,LFinder!A:A,LFinder!B:B,"absent des plateformes")</f>
        <v>absent des plateformes</v>
      </c>
    </row>
    <row r="695">
      <c r="A695" s="3" t="s">
        <v>818</v>
      </c>
      <c r="B695" s="4" t="str">
        <f>IFERROR(__xludf.DUMMYFUNCTION("REGEXREPLACE(A695, ""^https?://(www\.)?|/.*"", """")"),"go.sellsy.com")</f>
        <v>go.sellsy.com</v>
      </c>
      <c r="C695" s="1" t="s">
        <v>50</v>
      </c>
      <c r="D695" s="1">
        <v>1.0</v>
      </c>
      <c r="E695" s="1" t="s">
        <v>66</v>
      </c>
      <c r="F695" s="1" t="s">
        <v>54</v>
      </c>
      <c r="G695" s="5" t="str">
        <f t="array" ref="G695">XLOOKUP(B695,LFinder!A:A,LFinder!B:B,"absent des plateformes")</f>
        <v>absent des plateformes</v>
      </c>
    </row>
    <row r="696">
      <c r="A696" s="3" t="s">
        <v>819</v>
      </c>
      <c r="B696" s="4" t="str">
        <f>IFERROR(__xludf.DUMMYFUNCTION("REGEXREPLACE(A696, ""^https?://(www\.)?|/.*"", """")"),"xavierminali.com")</f>
        <v>xavierminali.com</v>
      </c>
      <c r="C696" s="1" t="s">
        <v>8</v>
      </c>
      <c r="D696" s="1">
        <v>1.0</v>
      </c>
      <c r="E696" s="1" t="s">
        <v>98</v>
      </c>
      <c r="F696" s="1" t="s">
        <v>10</v>
      </c>
      <c r="G696" s="5" t="str">
        <f t="array" ref="G696">XLOOKUP(B696,LFinder!A:A,LFinder!B:B,"absent des plateformes")</f>
        <v>absent des plateformes</v>
      </c>
    </row>
    <row r="697">
      <c r="A697" s="3" t="s">
        <v>820</v>
      </c>
      <c r="B697" s="4" t="str">
        <f>IFERROR(__xludf.DUMMYFUNCTION("REGEXREPLACE(A697, ""^https?://(www\.)?|/.*"", """")"),"exe-conseil.fr")</f>
        <v>exe-conseil.fr</v>
      </c>
      <c r="C697" s="1" t="s">
        <v>8</v>
      </c>
      <c r="D697" s="1">
        <v>1.0</v>
      </c>
      <c r="E697" s="1" t="s">
        <v>98</v>
      </c>
      <c r="F697" s="1" t="s">
        <v>10</v>
      </c>
      <c r="G697" s="5" t="str">
        <f t="array" ref="G697">XLOOKUP(B697,LFinder!A:A,LFinder!B:B,"absent des plateformes")</f>
        <v>absent des plateformes</v>
      </c>
    </row>
    <row r="698">
      <c r="A698" s="3" t="s">
        <v>821</v>
      </c>
      <c r="B698" s="4" t="str">
        <f>IFERROR(__xludf.DUMMYFUNCTION("REGEXREPLACE(A698, ""^https?://(www\.)?|/.*"", """")"),"lfc-conseil.fr")</f>
        <v>lfc-conseil.fr</v>
      </c>
      <c r="C698" s="1" t="s">
        <v>8</v>
      </c>
      <c r="D698" s="1">
        <v>1.0</v>
      </c>
      <c r="E698" s="1" t="s">
        <v>98</v>
      </c>
      <c r="F698" s="1" t="s">
        <v>10</v>
      </c>
      <c r="G698" s="5" t="str">
        <f t="array" ref="G698">XLOOKUP(B698,LFinder!A:A,LFinder!B:B,"absent des plateformes")</f>
        <v>absent des plateformes</v>
      </c>
    </row>
    <row r="699">
      <c r="A699" s="3" t="s">
        <v>822</v>
      </c>
      <c r="B699" s="4" t="str">
        <f>IFERROR(__xludf.DUMMYFUNCTION("REGEXREPLACE(A699, ""^https?://(www\.)?|/.*"", """")"),"jepilotemonentreprise.com")</f>
        <v>jepilotemonentreprise.com</v>
      </c>
      <c r="C699" s="1" t="s">
        <v>8</v>
      </c>
      <c r="D699" s="1">
        <v>1.0</v>
      </c>
      <c r="E699" s="1" t="s">
        <v>33</v>
      </c>
      <c r="F699" s="1" t="s">
        <v>10</v>
      </c>
      <c r="G699" s="5" t="str">
        <f t="array" ref="G699">XLOOKUP(B699,LFinder!A:A,LFinder!B:B,"absent des plateformes")</f>
        <v>absent des plateformes</v>
      </c>
    </row>
    <row r="700">
      <c r="A700" s="3" t="s">
        <v>823</v>
      </c>
      <c r="B700" s="4" t="str">
        <f>IFERROR(__xludf.DUMMYFUNCTION("REGEXREPLACE(A700, ""^https?://(www\.)?|/.*"", """")"),"fna.fr")</f>
        <v>fna.fr</v>
      </c>
      <c r="C700" s="1" t="s">
        <v>8</v>
      </c>
      <c r="D700" s="1">
        <v>1.0</v>
      </c>
      <c r="E700" s="1" t="s">
        <v>98</v>
      </c>
      <c r="F700" s="1" t="s">
        <v>10</v>
      </c>
      <c r="G700" s="5" t="str">
        <f t="array" ref="G700">XLOOKUP(B700,LFinder!A:A,LFinder!B:B,"absent des plateformes")</f>
        <v>absent des plateformes</v>
      </c>
    </row>
    <row r="701">
      <c r="A701" s="3" t="s">
        <v>824</v>
      </c>
      <c r="B701" s="4" t="str">
        <f>IFERROR(__xludf.DUMMYFUNCTION("REGEXREPLACE(A701, ""^https?://(www\.)?|/.*"", """")"),"seneactu.net")</f>
        <v>seneactu.net</v>
      </c>
      <c r="C701" s="1" t="s">
        <v>8</v>
      </c>
      <c r="D701" s="1">
        <v>1.0</v>
      </c>
      <c r="E701" s="1" t="s">
        <v>56</v>
      </c>
      <c r="F701" s="1" t="s">
        <v>10</v>
      </c>
      <c r="G701" s="5" t="str">
        <f t="array" ref="G701">XLOOKUP(B701,LFinder!A:A,LFinder!B:B,"absent des plateformes")</f>
        <v>absent des plateformes</v>
      </c>
    </row>
    <row r="702">
      <c r="A702" s="3" t="s">
        <v>825</v>
      </c>
      <c r="B702" s="4" t="str">
        <f>IFERROR(__xludf.DUMMYFUNCTION("REGEXREPLACE(A702, ""^https?://(www\.)?|/.*"", """")"),"pamadigital.com")</f>
        <v>pamadigital.com</v>
      </c>
      <c r="C702" s="1" t="s">
        <v>8</v>
      </c>
      <c r="D702" s="1">
        <v>1.0</v>
      </c>
      <c r="E702" s="1" t="s">
        <v>66</v>
      </c>
      <c r="F702" s="1" t="s">
        <v>10</v>
      </c>
      <c r="G702" s="5" t="str">
        <f t="array" ref="G702">XLOOKUP(B702,LFinder!A:A,LFinder!B:B,"absent des plateformes")</f>
        <v>absent des plateformes</v>
      </c>
    </row>
    <row r="703">
      <c r="A703" s="3" t="s">
        <v>826</v>
      </c>
      <c r="B703" s="4" t="str">
        <f>IFERROR(__xludf.DUMMYFUNCTION("REGEXREPLACE(A703, ""^https?://(www\.)?|/.*"", """")"),"oga-francepartenaire.fr")</f>
        <v>oga-francepartenaire.fr</v>
      </c>
      <c r="C703" s="1" t="s">
        <v>8</v>
      </c>
      <c r="D703" s="1">
        <v>1.0</v>
      </c>
      <c r="E703" s="1" t="s">
        <v>66</v>
      </c>
      <c r="F703" s="1" t="s">
        <v>10</v>
      </c>
      <c r="G703" s="5" t="str">
        <f t="array" ref="G703">XLOOKUP(B703,LFinder!A:A,LFinder!B:B,"absent des plateformes")</f>
        <v>absent des plateformes</v>
      </c>
    </row>
    <row r="704">
      <c r="A704" s="3" t="s">
        <v>827</v>
      </c>
      <c r="B704" s="4" t="str">
        <f>IFERROR(__xludf.DUMMYFUNCTION("REGEXREPLACE(A704, ""^https?://(www\.)?|/.*"", """")"),"normandie.fr")</f>
        <v>normandie.fr</v>
      </c>
      <c r="C704" s="1" t="s">
        <v>8</v>
      </c>
      <c r="D704" s="1">
        <v>1.0</v>
      </c>
      <c r="E704" s="1" t="s">
        <v>66</v>
      </c>
      <c r="F704" s="1" t="s">
        <v>10</v>
      </c>
      <c r="G704" s="5" t="str">
        <f t="array" ref="G704">XLOOKUP(B704,LFinder!A:A,LFinder!B:B,"absent des plateformes")</f>
        <v>absent des plateformes</v>
      </c>
    </row>
    <row r="705">
      <c r="A705" s="3" t="s">
        <v>828</v>
      </c>
      <c r="B705" s="4" t="str">
        <f>IFERROR(__xludf.DUMMYFUNCTION("REGEXREPLACE(A705, ""^https?://(www\.)?|/.*"", """")"),"cabinet-mosselmans.com")</f>
        <v>cabinet-mosselmans.com</v>
      </c>
      <c r="C705" s="1" t="s">
        <v>8</v>
      </c>
      <c r="D705" s="1">
        <v>1.0</v>
      </c>
      <c r="E705" s="1" t="s">
        <v>56</v>
      </c>
      <c r="F705" s="1" t="s">
        <v>10</v>
      </c>
      <c r="G705" s="5" t="str">
        <f t="array" ref="G705">XLOOKUP(B705,LFinder!A:A,LFinder!B:B,"absent des plateformes")</f>
        <v>absent des plateformes</v>
      </c>
    </row>
    <row r="706">
      <c r="A706" s="3" t="s">
        <v>829</v>
      </c>
      <c r="B706" s="4" t="str">
        <f>IFERROR(__xludf.DUMMYFUNCTION("REGEXREPLACE(A706, ""^https?://(www\.)?|/.*"", """")"),"scale-expertise.fr")</f>
        <v>scale-expertise.fr</v>
      </c>
      <c r="C706" s="1" t="s">
        <v>8</v>
      </c>
      <c r="D706" s="1">
        <v>1.0</v>
      </c>
      <c r="E706" s="1" t="s">
        <v>47</v>
      </c>
      <c r="F706" s="1" t="s">
        <v>10</v>
      </c>
      <c r="G706" s="5" t="str">
        <f t="array" ref="G706">XLOOKUP(B706,LFinder!A:A,LFinder!B:B,"absent des plateformes")</f>
        <v>absent des plateformes</v>
      </c>
    </row>
    <row r="707">
      <c r="A707" s="3" t="s">
        <v>830</v>
      </c>
      <c r="B707" s="4" t="str">
        <f>IFERROR(__xludf.DUMMYFUNCTION("REGEXREPLACE(A707, ""^https?://(www\.)?|/.*"", """")"),"freedz.io")</f>
        <v>freedz.io</v>
      </c>
      <c r="C707" s="1" t="s">
        <v>8</v>
      </c>
      <c r="D707" s="1">
        <v>1.0</v>
      </c>
      <c r="E707" s="1" t="s">
        <v>98</v>
      </c>
      <c r="F707" s="1" t="s">
        <v>10</v>
      </c>
      <c r="G707" s="5" t="str">
        <f t="array" ref="G707">XLOOKUP(B707,LFinder!A:A,LFinder!B:B,"absent des plateformes")</f>
        <v>absent des plateformes</v>
      </c>
    </row>
    <row r="708">
      <c r="A708" s="3" t="s">
        <v>831</v>
      </c>
      <c r="B708" s="4" t="str">
        <f>IFERROR(__xludf.DUMMYFUNCTION("REGEXREPLACE(A708, ""^https?://(www\.)?|/.*"", """")"),"lyon-metropole.cci.fr")</f>
        <v>lyon-metropole.cci.fr</v>
      </c>
      <c r="C708" s="1" t="s">
        <v>8</v>
      </c>
      <c r="D708" s="1">
        <v>1.0</v>
      </c>
      <c r="E708" s="1" t="s">
        <v>98</v>
      </c>
      <c r="F708" s="1" t="s">
        <v>10</v>
      </c>
      <c r="G708" s="5" t="str">
        <f t="array" ref="G708">XLOOKUP(B708,LFinder!A:A,LFinder!B:B,"absent des plateformes")</f>
        <v>absent des plateformes</v>
      </c>
    </row>
    <row r="709">
      <c r="A709" s="3" t="s">
        <v>832</v>
      </c>
      <c r="B709" s="4" t="str">
        <f>IFERROR(__xludf.DUMMYFUNCTION("REGEXREPLACE(A709, ""^https?://(www\.)?|/.*"", """")"),"itesoft.com")</f>
        <v>itesoft.com</v>
      </c>
      <c r="C709" s="1" t="s">
        <v>8</v>
      </c>
      <c r="D709" s="1">
        <v>1.0</v>
      </c>
      <c r="E709" s="1" t="s">
        <v>98</v>
      </c>
      <c r="F709" s="1" t="s">
        <v>10</v>
      </c>
      <c r="G709" s="5" t="str">
        <f t="array" ref="G709">XLOOKUP(B709,LFinder!A:A,LFinder!B:B,"absent des plateformes")</f>
        <v>absent des plateformes</v>
      </c>
    </row>
    <row r="710">
      <c r="A710" s="3" t="s">
        <v>833</v>
      </c>
      <c r="B710" s="4" t="str">
        <f>IFERROR(__xludf.DUMMYFUNCTION("REGEXREPLACE(A710, ""^https?://(www\.)?|/.*"", """")"),"ouestnormandie.cci.fr")</f>
        <v>ouestnormandie.cci.fr</v>
      </c>
      <c r="C710" s="1" t="s">
        <v>8</v>
      </c>
      <c r="D710" s="1">
        <v>1.0</v>
      </c>
      <c r="E710" s="1" t="s">
        <v>98</v>
      </c>
      <c r="F710" s="1" t="s">
        <v>10</v>
      </c>
      <c r="G710" s="5" t="str">
        <f t="array" ref="G710">XLOOKUP(B710,LFinder!A:A,LFinder!B:B,"absent des plateformes")</f>
        <v>absent des plateformes</v>
      </c>
    </row>
    <row r="711">
      <c r="A711" s="3" t="s">
        <v>834</v>
      </c>
      <c r="B711" s="4" t="str">
        <f>IFERROR(__xludf.DUMMYFUNCTION("REGEXREPLACE(A711, ""^https?://(www\.)?|/.*"", """")"),"n2f.com")</f>
        <v>n2f.com</v>
      </c>
      <c r="C711" s="1" t="s">
        <v>8</v>
      </c>
      <c r="D711" s="1">
        <v>1.0</v>
      </c>
      <c r="E711" s="1" t="s">
        <v>98</v>
      </c>
      <c r="F711" s="1" t="s">
        <v>10</v>
      </c>
      <c r="G711" s="5" t="str">
        <f t="array" ref="G711">XLOOKUP(B711,LFinder!A:A,LFinder!B:B,"absent des plateformes")</f>
        <v>absent des plateformes</v>
      </c>
    </row>
    <row r="712">
      <c r="A712" s="3" t="s">
        <v>835</v>
      </c>
      <c r="B712" s="4" t="str">
        <f>IFERROR(__xludf.DUMMYFUNCTION("REGEXREPLACE(A712, ""^https?://(www\.)?|/.*"", """")"),"experts-comptables.fr")</f>
        <v>experts-comptables.fr</v>
      </c>
      <c r="C712" s="1" t="s">
        <v>8</v>
      </c>
      <c r="D712" s="1">
        <v>1.0</v>
      </c>
      <c r="E712" s="1" t="s">
        <v>98</v>
      </c>
      <c r="F712" s="1" t="s">
        <v>10</v>
      </c>
      <c r="G712" s="5" t="str">
        <f t="array" ref="G712">XLOOKUP(B712,LFinder!A:A,LFinder!B:B,"absent des plateformes")</f>
        <v>absent des plateformes</v>
      </c>
    </row>
    <row r="713">
      <c r="A713" s="3" t="s">
        <v>836</v>
      </c>
      <c r="B713" s="4" t="str">
        <f>IFERROR(__xludf.DUMMYFUNCTION("REGEXREPLACE(A713, ""^https?://(www\.)?|/.*"", """")"),"dext.com")</f>
        <v>dext.com</v>
      </c>
      <c r="C713" s="1" t="s">
        <v>8</v>
      </c>
      <c r="D713" s="1">
        <v>1.0</v>
      </c>
      <c r="E713" s="1" t="s">
        <v>325</v>
      </c>
      <c r="F713" s="1" t="s">
        <v>10</v>
      </c>
      <c r="G713" s="5" t="str">
        <f t="array" ref="G713">XLOOKUP(B713,LFinder!A:A,LFinder!B:B,"absent des plateformes")</f>
        <v>absent des plateformes</v>
      </c>
    </row>
    <row r="714">
      <c r="A714" s="3" t="s">
        <v>837</v>
      </c>
      <c r="B714" s="4" t="str">
        <f>IFERROR(__xludf.DUMMYFUNCTION("REGEXREPLACE(A714, ""^https?://(www\.)?|/.*"", """")"),"dext.com")</f>
        <v>dext.com</v>
      </c>
      <c r="C714" s="1" t="s">
        <v>8</v>
      </c>
      <c r="D714" s="1">
        <v>1.0</v>
      </c>
      <c r="E714" s="1" t="s">
        <v>91</v>
      </c>
      <c r="F714" s="1" t="s">
        <v>10</v>
      </c>
      <c r="G714" s="5" t="str">
        <f t="array" ref="G714">XLOOKUP(B714,LFinder!A:A,LFinder!B:B,"absent des plateformes")</f>
        <v>absent des plateformes</v>
      </c>
    </row>
    <row r="715">
      <c r="A715" s="3" t="s">
        <v>838</v>
      </c>
      <c r="B715" s="4" t="str">
        <f>IFERROR(__xludf.DUMMYFUNCTION("REGEXREPLACE(A715, ""^https?://(www\.)?|/.*"", """")"),"dext.com")</f>
        <v>dext.com</v>
      </c>
      <c r="C715" s="1" t="s">
        <v>8</v>
      </c>
      <c r="D715" s="1">
        <v>1.0</v>
      </c>
      <c r="E715" s="1" t="s">
        <v>66</v>
      </c>
      <c r="F715" s="1" t="s">
        <v>10</v>
      </c>
      <c r="G715" s="5" t="str">
        <f t="array" ref="G715">XLOOKUP(B715,LFinder!A:A,LFinder!B:B,"absent des plateformes")</f>
        <v>absent des plateformes</v>
      </c>
    </row>
    <row r="716">
      <c r="A716" s="3" t="s">
        <v>839</v>
      </c>
      <c r="B716" s="4" t="str">
        <f>IFERROR(__xludf.DUMMYFUNCTION("REGEXREPLACE(A716, ""^https?://(www\.)?|/.*"", """")"),"dext.com")</f>
        <v>dext.com</v>
      </c>
      <c r="C716" s="1" t="s">
        <v>8</v>
      </c>
      <c r="D716" s="1">
        <v>1.0</v>
      </c>
      <c r="E716" s="1" t="s">
        <v>98</v>
      </c>
      <c r="F716" s="1" t="s">
        <v>10</v>
      </c>
      <c r="G716" s="5" t="str">
        <f t="array" ref="G716">XLOOKUP(B716,LFinder!A:A,LFinder!B:B,"absent des plateformes")</f>
        <v>absent des plateformes</v>
      </c>
    </row>
    <row r="717">
      <c r="A717" s="3" t="s">
        <v>840</v>
      </c>
      <c r="B717" s="4" t="str">
        <f>IFERROR(__xludf.DUMMYFUNCTION("REGEXREPLACE(A717, ""^https?://(www\.)?|/.*"", """")"),"youtube.com")</f>
        <v>youtube.com</v>
      </c>
      <c r="C717" s="1" t="s">
        <v>8</v>
      </c>
      <c r="D717" s="1">
        <v>1.0</v>
      </c>
      <c r="E717" s="1" t="s">
        <v>98</v>
      </c>
      <c r="F717" s="1" t="s">
        <v>10</v>
      </c>
      <c r="G717" s="5" t="str">
        <f t="array" ref="G717">XLOOKUP(B717,LFinder!A:A,LFinder!B:B,"absent des plateformes")</f>
        <v>absent des plateformes</v>
      </c>
    </row>
    <row r="718">
      <c r="A718" s="3" t="s">
        <v>841</v>
      </c>
      <c r="B718" s="4" t="str">
        <f>IFERROR(__xludf.DUMMYFUNCTION("REGEXREPLACE(A718, ""^https?://(www\.)?|/.*"", """")"),"youtube.com")</f>
        <v>youtube.com</v>
      </c>
      <c r="C718" s="1" t="s">
        <v>8</v>
      </c>
      <c r="D718" s="1">
        <v>1.0</v>
      </c>
      <c r="E718" s="1" t="s">
        <v>98</v>
      </c>
      <c r="F718" s="1" t="s">
        <v>10</v>
      </c>
      <c r="G718" s="5" t="str">
        <f t="array" ref="G718">XLOOKUP(B718,LFinder!A:A,LFinder!B:B,"absent des plateformes")</f>
        <v>absent des plateformes</v>
      </c>
    </row>
    <row r="719">
      <c r="A719" s="3" t="s">
        <v>842</v>
      </c>
      <c r="B719" s="4" t="str">
        <f>IFERROR(__xludf.DUMMYFUNCTION("REGEXREPLACE(A719, ""^https?://(www\.)?|/.*"", """")"),"urssaf.fr")</f>
        <v>urssaf.fr</v>
      </c>
      <c r="C719" s="1" t="s">
        <v>8</v>
      </c>
      <c r="D719" s="1">
        <v>1.0</v>
      </c>
      <c r="E719" s="1" t="s">
        <v>98</v>
      </c>
      <c r="F719" s="1" t="s">
        <v>10</v>
      </c>
      <c r="G719" s="5" t="str">
        <f t="array" ref="G719">XLOOKUP(B719,LFinder!A:A,LFinder!B:B,"absent des plateformes")</f>
        <v>absent des plateformes</v>
      </c>
    </row>
    <row r="720">
      <c r="A720" s="3" t="s">
        <v>843</v>
      </c>
      <c r="B720" s="4" t="str">
        <f>IFERROR(__xludf.DUMMYFUNCTION("REGEXREPLACE(A720, ""^https?://(www\.)?|/.*"", """")"),"septeo.com")</f>
        <v>septeo.com</v>
      </c>
      <c r="C720" s="1" t="s">
        <v>8</v>
      </c>
      <c r="D720" s="1">
        <v>1.0</v>
      </c>
      <c r="E720" s="1" t="s">
        <v>98</v>
      </c>
      <c r="F720" s="1" t="s">
        <v>10</v>
      </c>
      <c r="G720" s="5" t="str">
        <f t="array" ref="G720">XLOOKUP(B720,LFinder!A:A,LFinder!B:B,"absent des plateformes")</f>
        <v>absent des plateformes</v>
      </c>
    </row>
    <row r="721">
      <c r="A721" s="3" t="s">
        <v>844</v>
      </c>
      <c r="B721" s="4" t="str">
        <f>IFERROR(__xludf.DUMMYFUNCTION("REGEXREPLACE(A721, ""^https?://(www\.)?|/.*"", """")"),"referencedaf.com")</f>
        <v>referencedaf.com</v>
      </c>
      <c r="C721" s="1" t="s">
        <v>8</v>
      </c>
      <c r="D721" s="1">
        <v>1.0</v>
      </c>
      <c r="E721" s="1" t="s">
        <v>98</v>
      </c>
      <c r="F721" s="1" t="s">
        <v>10</v>
      </c>
      <c r="G721" s="5" t="str">
        <f t="array" ref="G721">XLOOKUP(B721,LFinder!A:A,LFinder!B:B,"absent des plateformes")</f>
        <v>absent des plateformes</v>
      </c>
    </row>
    <row r="722">
      <c r="A722" s="3" t="s">
        <v>845</v>
      </c>
      <c r="B722" s="4" t="str">
        <f>IFERROR(__xludf.DUMMYFUNCTION("REGEXREPLACE(A722, ""^https?://(www\.)?|/.*"", """")"),"visapaie.fr")</f>
        <v>visapaie.fr</v>
      </c>
      <c r="C722" s="1" t="s">
        <v>8</v>
      </c>
      <c r="D722" s="1">
        <v>1.0</v>
      </c>
      <c r="E722" s="1" t="s">
        <v>45</v>
      </c>
      <c r="F722" s="1" t="s">
        <v>10</v>
      </c>
      <c r="G722" s="5" t="str">
        <f t="array" ref="G722">XLOOKUP(B722,LFinder!A:A,LFinder!B:B,"absent des plateformes")</f>
        <v>absent des plateformes</v>
      </c>
    </row>
    <row r="723">
      <c r="A723" s="3" t="s">
        <v>846</v>
      </c>
      <c r="B723" s="4" t="str">
        <f>IFERROR(__xludf.DUMMYFUNCTION("REGEXREPLACE(A723, ""^https?://(www\.)?|/.*"", """")"),"ssp-partners.com")</f>
        <v>ssp-partners.com</v>
      </c>
      <c r="C723" s="1" t="s">
        <v>8</v>
      </c>
      <c r="D723" s="1">
        <v>1.0</v>
      </c>
      <c r="E723" s="1" t="s">
        <v>45</v>
      </c>
      <c r="F723" s="1" t="s">
        <v>10</v>
      </c>
      <c r="G723" s="5" t="str">
        <f t="array" ref="G723">XLOOKUP(B723,LFinder!A:A,LFinder!B:B,"absent des plateformes")</f>
        <v>absent des plateformes</v>
      </c>
    </row>
    <row r="724">
      <c r="A724" s="3" t="s">
        <v>847</v>
      </c>
      <c r="B724" s="4" t="str">
        <f>IFERROR(__xludf.DUMMYFUNCTION("REGEXREPLACE(A724, ""^https?://(www\.)?|/.*"", """")"),"doc-paie.fr")</f>
        <v>doc-paie.fr</v>
      </c>
      <c r="C724" s="1" t="s">
        <v>8</v>
      </c>
      <c r="D724" s="1">
        <v>1.0</v>
      </c>
      <c r="E724" s="1" t="s">
        <v>45</v>
      </c>
      <c r="F724" s="1" t="s">
        <v>10</v>
      </c>
      <c r="G724" s="5" t="str">
        <f t="array" ref="G724">XLOOKUP(B724,LFinder!A:A,LFinder!B:B,"absent des plateformes")</f>
        <v>absent des plateformes</v>
      </c>
    </row>
    <row r="725">
      <c r="A725" s="3" t="s">
        <v>848</v>
      </c>
      <c r="B725" s="4" t="str">
        <f>IFERROR(__xludf.DUMMYFUNCTION("REGEXREPLACE(A725, ""^https?://(www\.)?|/.*"", """")"),"prisma-paierh.com")</f>
        <v>prisma-paierh.com</v>
      </c>
      <c r="C725" s="1" t="s">
        <v>8</v>
      </c>
      <c r="D725" s="1">
        <v>1.0</v>
      </c>
      <c r="E725" s="1" t="s">
        <v>45</v>
      </c>
      <c r="F725" s="1" t="s">
        <v>10</v>
      </c>
      <c r="G725" s="5" t="str">
        <f t="array" ref="G725">XLOOKUP(B725,LFinder!A:A,LFinder!B:B,"absent des plateformes")</f>
        <v>absent des plateformes</v>
      </c>
    </row>
    <row r="726">
      <c r="A726" s="3" t="s">
        <v>849</v>
      </c>
      <c r="B726" s="4" t="str">
        <f>IFERROR(__xludf.DUMMYFUNCTION("REGEXREPLACE(A726, ""^https?://(www\.)?|/.*"", """")"),"bdo.fr")</f>
        <v>bdo.fr</v>
      </c>
      <c r="C726" s="1" t="s">
        <v>8</v>
      </c>
      <c r="D726" s="1">
        <v>1.0</v>
      </c>
      <c r="E726" s="1" t="s">
        <v>325</v>
      </c>
      <c r="F726" s="1" t="s">
        <v>10</v>
      </c>
      <c r="G726" s="5" t="str">
        <f t="array" ref="G726">XLOOKUP(B726,LFinder!A:A,LFinder!B:B,"absent des plateformes")</f>
        <v>absent des plateformes</v>
      </c>
    </row>
    <row r="727">
      <c r="A727" s="3" t="s">
        <v>850</v>
      </c>
      <c r="B727" s="4" t="str">
        <f>IFERROR(__xludf.DUMMYFUNCTION("REGEXREPLACE(A727, ""^https?://(www\.)?|/.*"", """")"),"bdo.fr")</f>
        <v>bdo.fr</v>
      </c>
      <c r="C727" s="1" t="s">
        <v>8</v>
      </c>
      <c r="D727" s="1">
        <v>1.0</v>
      </c>
      <c r="E727" s="1" t="s">
        <v>45</v>
      </c>
      <c r="F727" s="1" t="s">
        <v>10</v>
      </c>
      <c r="G727" s="5" t="str">
        <f t="array" ref="G727">XLOOKUP(B727,LFinder!A:A,LFinder!B:B,"absent des plateformes")</f>
        <v>absent des plateformes</v>
      </c>
    </row>
    <row r="728">
      <c r="A728" s="3" t="s">
        <v>851</v>
      </c>
      <c r="B728" s="4" t="str">
        <f>IFERROR(__xludf.DUMMYFUNCTION("REGEXREPLACE(A728, ""^https?://(www\.)?|/.*"", """")"),"payesquad.fr")</f>
        <v>payesquad.fr</v>
      </c>
      <c r="C728" s="1" t="s">
        <v>8</v>
      </c>
      <c r="D728" s="1">
        <v>1.0</v>
      </c>
      <c r="E728" s="1" t="s">
        <v>45</v>
      </c>
      <c r="F728" s="1" t="s">
        <v>10</v>
      </c>
      <c r="G728" s="5" t="str">
        <f t="array" ref="G728">XLOOKUP(B728,LFinder!A:A,LFinder!B:B,"absent des plateformes")</f>
        <v>absent des plateformes</v>
      </c>
    </row>
    <row r="729">
      <c r="A729" s="3" t="s">
        <v>852</v>
      </c>
      <c r="B729" s="4" t="str">
        <f>IFERROR(__xludf.DUMMYFUNCTION("REGEXREPLACE(A729, ""^https?://(www\.)?|/.*"", """")"),"payesquad.fr")</f>
        <v>payesquad.fr</v>
      </c>
      <c r="C729" s="1" t="s">
        <v>8</v>
      </c>
      <c r="D729" s="1">
        <v>1.0</v>
      </c>
      <c r="E729" s="1" t="s">
        <v>45</v>
      </c>
      <c r="F729" s="1" t="s">
        <v>10</v>
      </c>
      <c r="G729" s="5" t="str">
        <f t="array" ref="G729">XLOOKUP(B729,LFinder!A:A,LFinder!B:B,"absent des plateformes")</f>
        <v>absent des plateformes</v>
      </c>
    </row>
    <row r="730">
      <c r="A730" s="3" t="s">
        <v>853</v>
      </c>
      <c r="B730" s="4" t="str">
        <f>IFERROR(__xludf.DUMMYFUNCTION("REGEXREPLACE(A730, ""^https?://(www\.)?|/.*"", """")"),"gopaie.fr")</f>
        <v>gopaie.fr</v>
      </c>
      <c r="C730" s="1" t="s">
        <v>8</v>
      </c>
      <c r="D730" s="1">
        <v>1.0</v>
      </c>
      <c r="E730" s="1" t="s">
        <v>45</v>
      </c>
      <c r="F730" s="1" t="s">
        <v>10</v>
      </c>
      <c r="G730" s="5" t="str">
        <f t="array" ref="G730">XLOOKUP(B730,LFinder!A:A,LFinder!B:B,"absent des plateformes")</f>
        <v>absent des plateformes</v>
      </c>
    </row>
    <row r="731">
      <c r="A731" s="3" t="s">
        <v>854</v>
      </c>
      <c r="B731" s="4" t="str">
        <f>IFERROR(__xludf.DUMMYFUNCTION("REGEXREPLACE(A731, ""^https?://(www\.)?|/.*"", """")"),"tlpaie.com")</f>
        <v>tlpaie.com</v>
      </c>
      <c r="C731" s="1" t="s">
        <v>8</v>
      </c>
      <c r="D731" s="1">
        <v>1.0</v>
      </c>
      <c r="E731" s="1" t="s">
        <v>45</v>
      </c>
      <c r="F731" s="1" t="s">
        <v>10</v>
      </c>
      <c r="G731" s="5" t="str">
        <f t="array" ref="G731">XLOOKUP(B731,LFinder!A:A,LFinder!B:B,"absent des plateformes")</f>
        <v>absent des plateformes</v>
      </c>
    </row>
    <row r="732">
      <c r="A732" s="3" t="s">
        <v>855</v>
      </c>
      <c r="B732" s="4" t="str">
        <f>IFERROR(__xludf.DUMMYFUNCTION("REGEXREPLACE(A732, ""^https?://(www\.)?|/.*"", """")"),"maisontpe.fr")</f>
        <v>maisontpe.fr</v>
      </c>
      <c r="C732" s="1" t="s">
        <v>8</v>
      </c>
      <c r="D732" s="1">
        <v>1.0</v>
      </c>
      <c r="E732" s="1" t="s">
        <v>43</v>
      </c>
      <c r="F732" s="1" t="s">
        <v>10</v>
      </c>
      <c r="G732" s="5" t="str">
        <f t="array" ref="G732">XLOOKUP(B732,LFinder!A:A,LFinder!B:B,"absent des plateformes")</f>
        <v>absent des plateformes</v>
      </c>
    </row>
    <row r="733">
      <c r="A733" s="3" t="s">
        <v>856</v>
      </c>
      <c r="B733" s="4" t="str">
        <f>IFERROR(__xludf.DUMMYFUNCTION("REGEXREPLACE(A733, ""^https?://(www\.)?|/.*"", """")"),"facturconform.fr")</f>
        <v>facturconform.fr</v>
      </c>
      <c r="C733" s="1" t="s">
        <v>8</v>
      </c>
      <c r="D733" s="1">
        <v>1.0</v>
      </c>
      <c r="E733" s="1" t="s">
        <v>33</v>
      </c>
      <c r="F733" s="1" t="s">
        <v>10</v>
      </c>
      <c r="G733" s="5" t="str">
        <f t="array" ref="G733">XLOOKUP(B733,LFinder!A:A,LFinder!B:B,"absent des plateformes")</f>
        <v>absent des plateformes</v>
      </c>
    </row>
    <row r="734">
      <c r="A734" s="3" t="s">
        <v>857</v>
      </c>
      <c r="B734" s="4" t="str">
        <f>IFERROR(__xludf.DUMMYFUNCTION("REGEXREPLACE(A734, ""^https?://(www\.)?|/.*"", """")"),"efysoft.fr")</f>
        <v>efysoft.fr</v>
      </c>
      <c r="C734" s="1" t="s">
        <v>8</v>
      </c>
      <c r="D734" s="1">
        <v>1.0</v>
      </c>
      <c r="E734" s="1" t="s">
        <v>325</v>
      </c>
      <c r="F734" s="1" t="s">
        <v>10</v>
      </c>
      <c r="G734" s="5" t="str">
        <f t="array" ref="G734">XLOOKUP(B734,LFinder!A:A,LFinder!B:B,"absent des plateformes")</f>
        <v>absent des plateformes</v>
      </c>
    </row>
    <row r="735">
      <c r="A735" s="3" t="s">
        <v>858</v>
      </c>
      <c r="B735" s="4" t="str">
        <f>IFERROR(__xludf.DUMMYFUNCTION("REGEXREPLACE(A735, ""^https?://(www\.)?|/.*"", """")"),"tout-pour-la-gestion.com")</f>
        <v>tout-pour-la-gestion.com</v>
      </c>
      <c r="C735" s="1" t="s">
        <v>8</v>
      </c>
      <c r="D735" s="1">
        <v>1.0</v>
      </c>
      <c r="E735" s="1" t="s">
        <v>325</v>
      </c>
      <c r="F735" s="1" t="s">
        <v>10</v>
      </c>
      <c r="G735" s="5" t="str">
        <f t="array" ref="G735">XLOOKUP(B735,LFinder!A:A,LFinder!B:B,"absent des plateformes")</f>
        <v>absent des plateformes</v>
      </c>
    </row>
    <row r="736">
      <c r="A736" s="3" t="s">
        <v>859</v>
      </c>
      <c r="B736" s="4" t="str">
        <f>IFERROR(__xludf.DUMMYFUNCTION("REGEXREPLACE(A736, ""^https?://(www\.)?|/.*"", """")"),"axys-consultants.com")</f>
        <v>axys-consultants.com</v>
      </c>
      <c r="C736" s="1" t="s">
        <v>8</v>
      </c>
      <c r="D736" s="1">
        <v>1.0</v>
      </c>
      <c r="E736" s="1" t="s">
        <v>325</v>
      </c>
      <c r="F736" s="1" t="s">
        <v>10</v>
      </c>
      <c r="G736" s="5" t="str">
        <f t="array" ref="G736">XLOOKUP(B736,LFinder!A:A,LFinder!B:B,"absent des plateformes")</f>
        <v>absent des plateformes</v>
      </c>
    </row>
    <row r="737">
      <c r="A737" s="3" t="s">
        <v>860</v>
      </c>
      <c r="B737" s="4" t="str">
        <f>IFERROR(__xludf.DUMMYFUNCTION("REGEXREPLACE(A737, ""^https?://(www\.)?|/.*"", """")"),"help.thais-pms.fr")</f>
        <v>help.thais-pms.fr</v>
      </c>
      <c r="C737" s="1" t="s">
        <v>8</v>
      </c>
      <c r="D737" s="1">
        <v>1.0</v>
      </c>
      <c r="E737" s="1" t="s">
        <v>325</v>
      </c>
      <c r="F737" s="1" t="s">
        <v>10</v>
      </c>
      <c r="G737" s="5" t="str">
        <f t="array" ref="G737">XLOOKUP(B737,LFinder!A:A,LFinder!B:B,"absent des plateformes")</f>
        <v>absent des plateformes</v>
      </c>
    </row>
    <row r="738">
      <c r="A738" s="3" t="s">
        <v>861</v>
      </c>
      <c r="B738" s="4" t="str">
        <f>IFERROR(__xludf.DUMMYFUNCTION("REGEXREPLACE(A738, ""^https?://(www\.)?|/.*"", """")"),"prodwaregroup.com")</f>
        <v>prodwaregroup.com</v>
      </c>
      <c r="C738" s="1" t="s">
        <v>8</v>
      </c>
      <c r="D738" s="1">
        <v>1.0</v>
      </c>
      <c r="E738" s="1" t="s">
        <v>325</v>
      </c>
      <c r="F738" s="1" t="s">
        <v>10</v>
      </c>
      <c r="G738" s="5" t="str">
        <f t="array" ref="G738">XLOOKUP(B738,LFinder!A:A,LFinder!B:B,"absent des plateformes")</f>
        <v>absent des plateformes</v>
      </c>
    </row>
    <row r="739">
      <c r="A739" s="3" t="s">
        <v>862</v>
      </c>
      <c r="B739" s="4" t="str">
        <f>IFERROR(__xludf.DUMMYFUNCTION("REGEXREPLACE(A739, ""^https?://(www\.)?|/.*"", """")"),"tiime.fr")</f>
        <v>tiime.fr</v>
      </c>
      <c r="C739" s="1" t="s">
        <v>8</v>
      </c>
      <c r="D739" s="1">
        <v>1.0</v>
      </c>
      <c r="E739" s="1" t="s">
        <v>325</v>
      </c>
      <c r="F739" s="1" t="s">
        <v>10</v>
      </c>
      <c r="G739" s="5" t="str">
        <f t="array" ref="G739">XLOOKUP(B739,LFinder!A:A,LFinder!B:B,"absent des plateformes")</f>
        <v>absent des plateformes</v>
      </c>
    </row>
    <row r="740">
      <c r="A740" s="3" t="s">
        <v>863</v>
      </c>
      <c r="B740" s="4" t="str">
        <f>IFERROR(__xludf.DUMMYFUNCTION("REGEXREPLACE(A740, ""^https?://(www\.)?|/.*"", """")"),"comptactis.fr")</f>
        <v>comptactis.fr</v>
      </c>
      <c r="C740" s="1" t="s">
        <v>8</v>
      </c>
      <c r="D740" s="1">
        <v>1.0</v>
      </c>
      <c r="E740" s="1" t="s">
        <v>325</v>
      </c>
      <c r="F740" s="1" t="s">
        <v>10</v>
      </c>
      <c r="G740" s="5" t="str">
        <f t="array" ref="G740">XLOOKUP(B740,LFinder!A:A,LFinder!B:B,"absent des plateformes")</f>
        <v>absent des plateformes</v>
      </c>
    </row>
    <row r="741">
      <c r="A741" s="3" t="s">
        <v>864</v>
      </c>
      <c r="B741" s="4" t="str">
        <f>IFERROR(__xludf.DUMMYFUNCTION("REGEXREPLACE(A741, ""^https?://(www\.)?|/.*"", """")"),"pdp.fr")</f>
        <v>pdp.fr</v>
      </c>
      <c r="C741" s="1" t="s">
        <v>8</v>
      </c>
      <c r="D741" s="1">
        <v>1.0</v>
      </c>
      <c r="E741" s="1" t="s">
        <v>325</v>
      </c>
      <c r="F741" s="1" t="s">
        <v>10</v>
      </c>
      <c r="G741" s="5" t="str">
        <f t="array" ref="G741">XLOOKUP(B741,LFinder!A:A,LFinder!B:B,"absent des plateformes")</f>
        <v>absent des plateformes</v>
      </c>
    </row>
    <row r="742">
      <c r="A742" s="3" t="s">
        <v>865</v>
      </c>
      <c r="B742" s="4" t="str">
        <f>IFERROR(__xludf.DUMMYFUNCTION("REGEXREPLACE(A742, ""^https?://(www\.)?|/.*"", """")"),"cabinet-aac.fr")</f>
        <v>cabinet-aac.fr</v>
      </c>
      <c r="C742" s="1" t="s">
        <v>8</v>
      </c>
      <c r="D742" s="1">
        <v>1.0</v>
      </c>
      <c r="E742" s="1" t="s">
        <v>325</v>
      </c>
      <c r="F742" s="1" t="s">
        <v>10</v>
      </c>
      <c r="G742" s="5" t="str">
        <f t="array" ref="G742">XLOOKUP(B742,LFinder!A:A,LFinder!B:B,"absent des plateformes")</f>
        <v>absent des plateformes</v>
      </c>
    </row>
    <row r="743">
      <c r="A743" s="3" t="s">
        <v>866</v>
      </c>
      <c r="B743" s="4" t="str">
        <f>IFERROR(__xludf.DUMMYFUNCTION("REGEXREPLACE(A743, ""^https?://(www\.)?|/.*"", """")"),"hellobankpro.fr")</f>
        <v>hellobankpro.fr</v>
      </c>
      <c r="C743" s="1" t="s">
        <v>8</v>
      </c>
      <c r="D743" s="1">
        <v>1.0</v>
      </c>
      <c r="E743" s="1" t="s">
        <v>82</v>
      </c>
      <c r="F743" s="1" t="s">
        <v>10</v>
      </c>
      <c r="G743" s="5" t="str">
        <f t="array" ref="G743">XLOOKUP(B743,LFinder!A:A,LFinder!B:B,"absent des plateformes")</f>
        <v>absent des plateformes</v>
      </c>
    </row>
    <row r="744">
      <c r="A744" s="3" t="s">
        <v>867</v>
      </c>
      <c r="B744" s="4" t="str">
        <f>IFERROR(__xludf.DUMMYFUNCTION("REGEXREPLACE(A744, ""^https?://(www\.)?|/.*"", """")"),"hellobankpro.fr")</f>
        <v>hellobankpro.fr</v>
      </c>
      <c r="C744" s="1" t="s">
        <v>8</v>
      </c>
      <c r="D744" s="1">
        <v>1.0</v>
      </c>
      <c r="E744" s="1" t="s">
        <v>51</v>
      </c>
      <c r="F744" s="1" t="s">
        <v>10</v>
      </c>
      <c r="G744" s="5" t="str">
        <f t="array" ref="G744">XLOOKUP(B744,LFinder!A:A,LFinder!B:B,"absent des plateformes")</f>
        <v>absent des plateformes</v>
      </c>
    </row>
    <row r="745">
      <c r="A745" s="3" t="s">
        <v>868</v>
      </c>
      <c r="B745" s="4" t="str">
        <f>IFERROR(__xludf.DUMMYFUNCTION("REGEXREPLACE(A745, ""^https?://(www\.)?|/.*"", """")"),"hellobankpro.fr")</f>
        <v>hellobankpro.fr</v>
      </c>
      <c r="C745" s="1" t="s">
        <v>8</v>
      </c>
      <c r="D745" s="1">
        <v>1.0</v>
      </c>
      <c r="E745" s="1" t="s">
        <v>51</v>
      </c>
      <c r="F745" s="1" t="s">
        <v>10</v>
      </c>
      <c r="G745" s="5" t="str">
        <f t="array" ref="G745">XLOOKUP(B745,LFinder!A:A,LFinder!B:B,"absent des plateformes")</f>
        <v>absent des plateformes</v>
      </c>
    </row>
    <row r="746">
      <c r="A746" s="3" t="s">
        <v>869</v>
      </c>
      <c r="B746" s="4" t="str">
        <f>IFERROR(__xludf.DUMMYFUNCTION("REGEXREPLACE(A746, ""^https?://(www\.)?|/.*"", """")"),"milesopedia.fr")</f>
        <v>milesopedia.fr</v>
      </c>
      <c r="C746" s="1" t="s">
        <v>8</v>
      </c>
      <c r="D746" s="1">
        <v>1.0</v>
      </c>
      <c r="E746" s="1" t="s">
        <v>14</v>
      </c>
      <c r="F746" s="1" t="s">
        <v>10</v>
      </c>
      <c r="G746" s="5" t="str">
        <f t="array" ref="G746">XLOOKUP(B746,LFinder!A:A,LFinder!B:B,"absent des plateformes")</f>
        <v>absent des plateformes</v>
      </c>
    </row>
    <row r="747">
      <c r="A747" s="3" t="s">
        <v>870</v>
      </c>
      <c r="B747" s="4" t="str">
        <f>IFERROR(__xludf.DUMMYFUNCTION("REGEXREPLACE(A747, ""^https?://(www\.)?|/.*"", """")"),"thebaide-conseils.fr")</f>
        <v>thebaide-conseils.fr</v>
      </c>
      <c r="C747" s="1" t="s">
        <v>8</v>
      </c>
      <c r="D747" s="1">
        <v>1.0</v>
      </c>
      <c r="E747" s="1" t="s">
        <v>200</v>
      </c>
      <c r="F747" s="1" t="s">
        <v>10</v>
      </c>
      <c r="G747" s="5" t="str">
        <f t="array" ref="G747">XLOOKUP(B747,LFinder!A:A,LFinder!B:B,"absent des plateformes")</f>
        <v>absent des plateformes</v>
      </c>
    </row>
    <row r="748">
      <c r="A748" s="3" t="s">
        <v>871</v>
      </c>
      <c r="B748" s="4" t="str">
        <f>IFERROR(__xludf.DUMMYFUNCTION("REGEXREPLACE(A748, ""^https?://(www\.)?|/.*"", """")"),"altis-conseil.fr")</f>
        <v>altis-conseil.fr</v>
      </c>
      <c r="C748" s="1" t="s">
        <v>8</v>
      </c>
      <c r="D748" s="1">
        <v>1.0</v>
      </c>
      <c r="E748" s="1" t="s">
        <v>63</v>
      </c>
      <c r="F748" s="1" t="s">
        <v>10</v>
      </c>
      <c r="G748" s="5" t="str">
        <f t="array" ref="G748">XLOOKUP(B748,LFinder!A:A,LFinder!B:B,"absent des plateformes")</f>
        <v>absent des plateformes</v>
      </c>
    </row>
    <row r="749">
      <c r="A749" s="3" t="s">
        <v>872</v>
      </c>
      <c r="B749" s="4" t="str">
        <f>IFERROR(__xludf.DUMMYFUNCTION("REGEXREPLACE(A749, ""^https?://(www\.)?|/.*"", """")"),"altis-conseil.fr")</f>
        <v>altis-conseil.fr</v>
      </c>
      <c r="C749" s="1" t="s">
        <v>8</v>
      </c>
      <c r="D749" s="1">
        <v>1.0</v>
      </c>
      <c r="E749" s="1" t="s">
        <v>200</v>
      </c>
      <c r="F749" s="1" t="s">
        <v>10</v>
      </c>
      <c r="G749" s="5" t="str">
        <f t="array" ref="G749">XLOOKUP(B749,LFinder!A:A,LFinder!B:B,"absent des plateformes")</f>
        <v>absent des plateformes</v>
      </c>
    </row>
    <row r="750">
      <c r="A750" s="3" t="s">
        <v>873</v>
      </c>
      <c r="B750" s="4" t="str">
        <f>IFERROR(__xludf.DUMMYFUNCTION("REGEXREPLACE(A750, ""^https?://(www\.)?|/.*"", """")"),"gt-expertise.fr")</f>
        <v>gt-expertise.fr</v>
      </c>
      <c r="C750" s="1" t="s">
        <v>8</v>
      </c>
      <c r="D750" s="1">
        <v>1.0</v>
      </c>
      <c r="E750" s="1" t="s">
        <v>325</v>
      </c>
      <c r="F750" s="1" t="s">
        <v>10</v>
      </c>
      <c r="G750" s="5" t="str">
        <f t="array" ref="G750">XLOOKUP(B750,LFinder!A:A,LFinder!B:B,"absent des plateformes")</f>
        <v>absent des plateformes</v>
      </c>
    </row>
    <row r="751">
      <c r="A751" s="3" t="s">
        <v>874</v>
      </c>
      <c r="B751" s="4" t="str">
        <f>IFERROR(__xludf.DUMMYFUNCTION("REGEXREPLACE(A751, ""^https?://(www\.)?|/.*"", """")"),"gt-expertise.fr")</f>
        <v>gt-expertise.fr</v>
      </c>
      <c r="C751" s="1" t="s">
        <v>8</v>
      </c>
      <c r="D751" s="1">
        <v>1.0</v>
      </c>
      <c r="E751" s="1" t="s">
        <v>323</v>
      </c>
      <c r="F751" s="1" t="s">
        <v>10</v>
      </c>
      <c r="G751" s="5" t="str">
        <f t="array" ref="G751">XLOOKUP(B751,LFinder!A:A,LFinder!B:B,"absent des plateformes")</f>
        <v>absent des plateformes</v>
      </c>
    </row>
    <row r="752">
      <c r="A752" s="3" t="s">
        <v>875</v>
      </c>
      <c r="B752" s="4" t="str">
        <f>IFERROR(__xludf.DUMMYFUNCTION("REGEXREPLACE(A752, ""^https?://(www\.)?|/.*"", """")"),"socic.fr")</f>
        <v>socic.fr</v>
      </c>
      <c r="C752" s="1" t="s">
        <v>8</v>
      </c>
      <c r="D752" s="1">
        <v>1.0</v>
      </c>
      <c r="E752" s="1" t="s">
        <v>20</v>
      </c>
      <c r="F752" s="1" t="s">
        <v>10</v>
      </c>
      <c r="G752" s="5" t="str">
        <f t="array" ref="G752">XLOOKUP(B752,LFinder!A:A,LFinder!B:B,"absent des plateformes")</f>
        <v>absent des plateformes</v>
      </c>
    </row>
    <row r="753">
      <c r="A753" s="3" t="s">
        <v>876</v>
      </c>
      <c r="B753" s="4" t="str">
        <f>IFERROR(__xludf.DUMMYFUNCTION("REGEXREPLACE(A753, ""^https?://(www\.)?|/.*"", """")"),"socic.fr")</f>
        <v>socic.fr</v>
      </c>
      <c r="C753" s="1" t="s">
        <v>8</v>
      </c>
      <c r="D753" s="1">
        <v>1.0</v>
      </c>
      <c r="E753" s="1" t="s">
        <v>38</v>
      </c>
      <c r="F753" s="1" t="s">
        <v>10</v>
      </c>
      <c r="G753" s="5" t="str">
        <f t="array" ref="G753">XLOOKUP(B753,LFinder!A:A,LFinder!B:B,"absent des plateformes")</f>
        <v>absent des plateformes</v>
      </c>
    </row>
    <row r="754">
      <c r="A754" s="3" t="s">
        <v>877</v>
      </c>
      <c r="B754" s="4" t="str">
        <f>IFERROR(__xludf.DUMMYFUNCTION("REGEXREPLACE(A754, ""^https?://(www\.)?|/.*"", """")"),"guennounconseils.fr")</f>
        <v>guennounconseils.fr</v>
      </c>
      <c r="C754" s="1" t="s">
        <v>8</v>
      </c>
      <c r="D754" s="1">
        <v>1.0</v>
      </c>
      <c r="E754" s="1" t="s">
        <v>38</v>
      </c>
      <c r="F754" s="1" t="s">
        <v>10</v>
      </c>
      <c r="G754" s="5" t="str">
        <f t="array" ref="G754">XLOOKUP(B754,LFinder!A:A,LFinder!B:B,"absent des plateformes")</f>
        <v>absent des plateformes</v>
      </c>
    </row>
    <row r="755">
      <c r="A755" s="3" t="s">
        <v>878</v>
      </c>
      <c r="B755" s="4" t="str">
        <f>IFERROR(__xludf.DUMMYFUNCTION("REGEXREPLACE(A755, ""^https?://(www\.)?|/.*"", """")"),"oranova-conseil.fr")</f>
        <v>oranova-conseil.fr</v>
      </c>
      <c r="C755" s="1" t="s">
        <v>8</v>
      </c>
      <c r="D755" s="1">
        <v>1.0</v>
      </c>
      <c r="E755" s="1" t="s">
        <v>38</v>
      </c>
      <c r="F755" s="1" t="s">
        <v>10</v>
      </c>
      <c r="G755" s="5" t="str">
        <f t="array" ref="G755">XLOOKUP(B755,LFinder!A:A,LFinder!B:B,"absent des plateformes")</f>
        <v>absent des plateformes</v>
      </c>
    </row>
    <row r="756">
      <c r="A756" s="3" t="s">
        <v>879</v>
      </c>
      <c r="B756" s="4" t="str">
        <f>IFERROR(__xludf.DUMMYFUNCTION("REGEXREPLACE(A756, ""^https?://(www\.)?|/.*"", """")"),"vos-expertscomptables.fr")</f>
        <v>vos-expertscomptables.fr</v>
      </c>
      <c r="C756" s="1" t="s">
        <v>8</v>
      </c>
      <c r="D756" s="1">
        <v>1.0</v>
      </c>
      <c r="E756" s="1" t="s">
        <v>38</v>
      </c>
      <c r="F756" s="1" t="s">
        <v>10</v>
      </c>
      <c r="G756" s="5" t="str">
        <f t="array" ref="G756">XLOOKUP(B756,LFinder!A:A,LFinder!B:B,"absent des plateformes")</f>
        <v>absent des plateformes</v>
      </c>
    </row>
    <row r="757">
      <c r="A757" s="3" t="s">
        <v>880</v>
      </c>
      <c r="B757" s="4" t="str">
        <f>IFERROR(__xludf.DUMMYFUNCTION("REGEXREPLACE(A757, ""^https?://(www\.)?|/.*"", """")"),"kompio.fr")</f>
        <v>kompio.fr</v>
      </c>
      <c r="C757" s="1" t="s">
        <v>8</v>
      </c>
      <c r="D757" s="1">
        <v>1.0</v>
      </c>
      <c r="E757" s="1" t="s">
        <v>38</v>
      </c>
      <c r="F757" s="1" t="s">
        <v>10</v>
      </c>
      <c r="G757" s="5" t="str">
        <f t="array" ref="G757">XLOOKUP(B757,LFinder!A:A,LFinder!B:B,"absent des plateformes")</f>
        <v>absent des plateformes</v>
      </c>
    </row>
    <row r="758">
      <c r="A758" s="3" t="s">
        <v>881</v>
      </c>
      <c r="B758" s="4" t="str">
        <f>IFERROR(__xludf.DUMMYFUNCTION("REGEXREPLACE(A758, ""^https?://(www\.)?|/.*"", """")"),"expertcomptapro.fr")</f>
        <v>expertcomptapro.fr</v>
      </c>
      <c r="C758" s="1" t="s">
        <v>8</v>
      </c>
      <c r="D758" s="1">
        <v>1.0</v>
      </c>
      <c r="E758" s="1" t="s">
        <v>38</v>
      </c>
      <c r="F758" s="1" t="s">
        <v>10</v>
      </c>
      <c r="G758" s="5" t="str">
        <f t="array" ref="G758">XLOOKUP(B758,LFinder!A:A,LFinder!B:B,"absent des plateformes")</f>
        <v>absent des plateformes</v>
      </c>
    </row>
    <row r="759">
      <c r="A759" s="3" t="s">
        <v>882</v>
      </c>
      <c r="B759" s="4" t="str">
        <f>IFERROR(__xludf.DUMMYFUNCTION("REGEXREPLACE(A759, ""^https?://(www\.)?|/.*"", """")"),"expertcomptapro.fr")</f>
        <v>expertcomptapro.fr</v>
      </c>
      <c r="C759" s="1" t="s">
        <v>8</v>
      </c>
      <c r="D759" s="1">
        <v>1.0</v>
      </c>
      <c r="E759" s="1" t="s">
        <v>38</v>
      </c>
      <c r="F759" s="1" t="s">
        <v>10</v>
      </c>
      <c r="G759" s="5" t="str">
        <f t="array" ref="G759">XLOOKUP(B759,LFinder!A:A,LFinder!B:B,"absent des plateformes")</f>
        <v>absent des plateformes</v>
      </c>
    </row>
    <row r="760">
      <c r="A760" s="3" t="s">
        <v>883</v>
      </c>
      <c r="B760" s="4" t="str">
        <f>IFERROR(__xludf.DUMMYFUNCTION("REGEXREPLACE(A760, ""^https?://(www\.)?|/.*"", """")"),"meilleure-banque.com")</f>
        <v>meilleure-banque.com</v>
      </c>
      <c r="C760" s="1" t="s">
        <v>8</v>
      </c>
      <c r="D760" s="1">
        <v>1.0</v>
      </c>
      <c r="E760" s="1" t="s">
        <v>82</v>
      </c>
      <c r="F760" s="1" t="s">
        <v>10</v>
      </c>
      <c r="G760" s="5" t="str">
        <f t="array" ref="G760">XLOOKUP(B760,LFinder!A:A,LFinder!B:B,"absent des plateformes")</f>
        <v>absent des plateformes</v>
      </c>
    </row>
    <row r="761">
      <c r="A761" s="3" t="s">
        <v>884</v>
      </c>
      <c r="B761" s="4" t="str">
        <f>IFERROR(__xludf.DUMMYFUNCTION("REGEXREPLACE(A761, ""^https?://(www\.)?|/.*"", """")"),"obat.fr")</f>
        <v>obat.fr</v>
      </c>
      <c r="C761" s="1" t="s">
        <v>8</v>
      </c>
      <c r="D761" s="1">
        <v>1.0</v>
      </c>
      <c r="E761" s="1" t="s">
        <v>91</v>
      </c>
      <c r="F761" s="1" t="s">
        <v>10</v>
      </c>
      <c r="G761" s="5" t="str">
        <f t="array" ref="G761">XLOOKUP(B761,LFinder!A:A,LFinder!B:B,"absent des plateformes")</f>
        <v>absent des plateformes</v>
      </c>
    </row>
    <row r="762">
      <c r="A762" s="3" t="s">
        <v>885</v>
      </c>
      <c r="B762" s="4" t="str">
        <f>IFERROR(__xludf.DUMMYFUNCTION("REGEXREPLACE(A762, ""^https?://(www\.)?|/.*"", """")"),"obat.fr")</f>
        <v>obat.fr</v>
      </c>
      <c r="C762" s="1" t="s">
        <v>8</v>
      </c>
      <c r="D762" s="1">
        <v>1.0</v>
      </c>
      <c r="E762" s="1" t="s">
        <v>82</v>
      </c>
      <c r="F762" s="1" t="s">
        <v>10</v>
      </c>
      <c r="G762" s="5" t="str">
        <f t="array" ref="G762">XLOOKUP(B762,LFinder!A:A,LFinder!B:B,"absent des plateformes")</f>
        <v>absent des plateformes</v>
      </c>
    </row>
    <row r="763">
      <c r="A763" s="3" t="s">
        <v>886</v>
      </c>
      <c r="B763" s="4" t="str">
        <f>IFERROR(__xludf.DUMMYFUNCTION("REGEXREPLACE(A763, ""^https?://(www\.)?|/.*"", """")"),"dms-invest.fr")</f>
        <v>dms-invest.fr</v>
      </c>
      <c r="C763" s="1" t="s">
        <v>8</v>
      </c>
      <c r="D763" s="1">
        <v>1.0</v>
      </c>
      <c r="E763" s="1" t="s">
        <v>82</v>
      </c>
      <c r="F763" s="1" t="s">
        <v>54</v>
      </c>
      <c r="G763" s="5" t="str">
        <f t="array" ref="G763">XLOOKUP(B763,LFinder!A:A,LFinder!B:B,"absent des plateformes")</f>
        <v>absent des plateformes</v>
      </c>
    </row>
    <row r="764">
      <c r="A764" s="3" t="s">
        <v>887</v>
      </c>
      <c r="B764" s="4" t="str">
        <f>IFERROR(__xludf.DUMMYFUNCTION("REGEXREPLACE(A764, ""^https?://(www\.)?|/.*"", """")"),"bycome.fr")</f>
        <v>bycome.fr</v>
      </c>
      <c r="C764" s="1" t="s">
        <v>8</v>
      </c>
      <c r="D764" s="1">
        <v>1.0</v>
      </c>
      <c r="E764" s="1" t="s">
        <v>82</v>
      </c>
      <c r="F764" s="1" t="s">
        <v>10</v>
      </c>
      <c r="G764" s="5" t="str">
        <f t="array" ref="G764">XLOOKUP(B764,LFinder!A:A,LFinder!B:B,"absent des plateformes")</f>
        <v>absent des plateformes</v>
      </c>
    </row>
    <row r="765">
      <c r="A765" s="3" t="s">
        <v>888</v>
      </c>
      <c r="B765" s="4" t="str">
        <f>IFERROR(__xludf.DUMMYFUNCTION("REGEXREPLACE(A765, ""^https?://(www\.)?|/.*"", """")"),"mycxp.fr")</f>
        <v>mycxp.fr</v>
      </c>
      <c r="C765" s="1" t="s">
        <v>8</v>
      </c>
      <c r="D765" s="1">
        <v>1.0</v>
      </c>
      <c r="E765" s="1" t="s">
        <v>33</v>
      </c>
      <c r="F765" s="1" t="s">
        <v>10</v>
      </c>
      <c r="G765" s="5" t="str">
        <f t="array" ref="G765">XLOOKUP(B765,LFinder!A:A,LFinder!B:B,"absent des plateformes")</f>
        <v>absent des plateformes</v>
      </c>
    </row>
    <row r="766">
      <c r="A766" s="3" t="s">
        <v>889</v>
      </c>
      <c r="B766" s="4" t="str">
        <f>IFERROR(__xludf.DUMMYFUNCTION("REGEXREPLACE(A766, ""^https?://(www\.)?|/.*"", """")"),"economie.gouv.fr")</f>
        <v>economie.gouv.fr</v>
      </c>
      <c r="C766" s="1" t="s">
        <v>8</v>
      </c>
      <c r="D766" s="1">
        <v>1.0</v>
      </c>
      <c r="E766" s="1" t="s">
        <v>129</v>
      </c>
      <c r="F766" s="1" t="s">
        <v>10</v>
      </c>
      <c r="G766" s="5" t="str">
        <f t="array" ref="G766">XLOOKUP(B766,LFinder!A:A,LFinder!B:B,"absent des plateformes")</f>
        <v>absent des plateformes</v>
      </c>
    </row>
    <row r="767">
      <c r="A767" s="3" t="s">
        <v>890</v>
      </c>
      <c r="B767" s="4" t="str">
        <f>IFERROR(__xludf.DUMMYFUNCTION("REGEXREPLACE(A767, ""^https?://(www\.)?|/.*"", """")"),"economie.gouv.fr")</f>
        <v>economie.gouv.fr</v>
      </c>
      <c r="C767" s="1" t="s">
        <v>8</v>
      </c>
      <c r="D767" s="1">
        <v>1.0</v>
      </c>
      <c r="E767" s="1" t="s">
        <v>129</v>
      </c>
      <c r="F767" s="1" t="s">
        <v>10</v>
      </c>
      <c r="G767" s="5" t="str">
        <f t="array" ref="G767">XLOOKUP(B767,LFinder!A:A,LFinder!B:B,"absent des plateformes")</f>
        <v>absent des plateformes</v>
      </c>
    </row>
    <row r="768">
      <c r="A768" s="3" t="s">
        <v>891</v>
      </c>
      <c r="B768" s="4" t="str">
        <f>IFERROR(__xludf.DUMMYFUNCTION("REGEXREPLACE(A768, ""^https?://(www\.)?|/.*"", """")"),"economie.gouv.fr")</f>
        <v>economie.gouv.fr</v>
      </c>
      <c r="C768" s="1" t="s">
        <v>8</v>
      </c>
      <c r="D768" s="1">
        <v>1.0</v>
      </c>
      <c r="E768" s="1" t="s">
        <v>33</v>
      </c>
      <c r="F768" s="1" t="s">
        <v>10</v>
      </c>
      <c r="G768" s="5" t="str">
        <f t="array" ref="G768">XLOOKUP(B768,LFinder!A:A,LFinder!B:B,"absent des plateformes")</f>
        <v>absent des plateformes</v>
      </c>
    </row>
    <row r="769">
      <c r="A769" s="3" t="s">
        <v>892</v>
      </c>
      <c r="B769" s="4" t="str">
        <f>IFERROR(__xludf.DUMMYFUNCTION("REGEXREPLACE(A769, ""^https?://(www\.)?|/.*"", """")"),"economie.gouv.fr")</f>
        <v>economie.gouv.fr</v>
      </c>
      <c r="C769" s="1" t="s">
        <v>8</v>
      </c>
      <c r="D769" s="1">
        <v>1.0</v>
      </c>
      <c r="E769" s="1" t="s">
        <v>98</v>
      </c>
      <c r="F769" s="1" t="s">
        <v>10</v>
      </c>
      <c r="G769" s="5" t="str">
        <f t="array" ref="G769">XLOOKUP(B769,LFinder!A:A,LFinder!B:B,"absent des plateformes")</f>
        <v>absent des plateformes</v>
      </c>
    </row>
    <row r="770">
      <c r="A770" s="3" t="s">
        <v>893</v>
      </c>
      <c r="B770" s="4" t="str">
        <f>IFERROR(__xludf.DUMMYFUNCTION("REGEXREPLACE(A770, ""^https?://(www\.)?|/.*"", """")"),"economie.gouv.fr")</f>
        <v>economie.gouv.fr</v>
      </c>
      <c r="C770" s="1" t="s">
        <v>8</v>
      </c>
      <c r="D770" s="1">
        <v>1.0</v>
      </c>
      <c r="E770" s="1" t="s">
        <v>98</v>
      </c>
      <c r="F770" s="1" t="s">
        <v>10</v>
      </c>
      <c r="G770" s="5" t="str">
        <f t="array" ref="G770">XLOOKUP(B770,LFinder!A:A,LFinder!B:B,"absent des plateformes")</f>
        <v>absent des plateformes</v>
      </c>
    </row>
    <row r="771">
      <c r="A771" s="3" t="s">
        <v>894</v>
      </c>
      <c r="B771" s="4" t="str">
        <f>IFERROR(__xludf.DUMMYFUNCTION("REGEXREPLACE(A771, ""^https?://(www\.)?|/.*"", """")"),"economie.gouv.fr")</f>
        <v>economie.gouv.fr</v>
      </c>
      <c r="C771" s="1" t="s">
        <v>8</v>
      </c>
      <c r="D771" s="1">
        <v>1.0</v>
      </c>
      <c r="E771" s="1" t="s">
        <v>33</v>
      </c>
      <c r="F771" s="1" t="s">
        <v>10</v>
      </c>
      <c r="G771" s="5" t="str">
        <f t="array" ref="G771">XLOOKUP(B771,LFinder!A:A,LFinder!B:B,"absent des plateformes")</f>
        <v>absent des plateformes</v>
      </c>
    </row>
    <row r="772">
      <c r="A772" s="3" t="s">
        <v>895</v>
      </c>
      <c r="B772" s="4" t="str">
        <f>IFERROR(__xludf.DUMMYFUNCTION("REGEXREPLACE(A772, ""^https?://(www\.)?|/.*"", """")"),"gerantdesarl.com")</f>
        <v>gerantdesarl.com</v>
      </c>
      <c r="C772" s="1" t="s">
        <v>8</v>
      </c>
      <c r="D772" s="1">
        <v>1.0</v>
      </c>
      <c r="E772" s="1" t="s">
        <v>33</v>
      </c>
      <c r="F772" s="1" t="s">
        <v>10</v>
      </c>
      <c r="G772" s="5" t="str">
        <f t="array" ref="G772">XLOOKUP(B772,LFinder!A:A,LFinder!B:B,"absent des plateformes")</f>
        <v>absent des plateformes</v>
      </c>
    </row>
    <row r="773">
      <c r="A773" s="3" t="s">
        <v>896</v>
      </c>
      <c r="B773" s="4" t="str">
        <f>IFERROR(__xludf.DUMMYFUNCTION("REGEXREPLACE(A773, ""^https?://(www\.)?|/.*"", """")"),"entreprendre.service-public.gouv.fr")</f>
        <v>entreprendre.service-public.gouv.fr</v>
      </c>
      <c r="C773" s="1" t="s">
        <v>8</v>
      </c>
      <c r="D773" s="1">
        <v>1.0</v>
      </c>
      <c r="E773" s="1" t="s">
        <v>316</v>
      </c>
      <c r="F773" s="1" t="s">
        <v>10</v>
      </c>
      <c r="G773" s="5" t="str">
        <f t="array" ref="G773">XLOOKUP(B773,LFinder!A:A,LFinder!B:B,"absent des plateformes")</f>
        <v>absent des plateformes</v>
      </c>
    </row>
    <row r="774">
      <c r="A774" s="3" t="s">
        <v>897</v>
      </c>
      <c r="B774" s="4" t="str">
        <f>IFERROR(__xludf.DUMMYFUNCTION("REGEXREPLACE(A774, ""^https?://(www\.)?|/.*"", """")"),"entreprendre.service-public.gouv.fr")</f>
        <v>entreprendre.service-public.gouv.fr</v>
      </c>
      <c r="C774" s="1" t="s">
        <v>8</v>
      </c>
      <c r="D774" s="1">
        <v>1.0</v>
      </c>
      <c r="E774" s="1" t="s">
        <v>98</v>
      </c>
      <c r="F774" s="1" t="s">
        <v>10</v>
      </c>
      <c r="G774" s="5" t="str">
        <f t="array" ref="G774">XLOOKUP(B774,LFinder!A:A,LFinder!B:B,"absent des plateformes")</f>
        <v>absent des plateformes</v>
      </c>
    </row>
    <row r="775">
      <c r="A775" s="3" t="s">
        <v>898</v>
      </c>
      <c r="B775" s="4" t="str">
        <f>IFERROR(__xludf.DUMMYFUNCTION("REGEXREPLACE(A775, ""^https?://(www\.)?|/.*"", """")"),"entreprendre.service-public.gouv.fr")</f>
        <v>entreprendre.service-public.gouv.fr</v>
      </c>
      <c r="C775" s="1" t="s">
        <v>8</v>
      </c>
      <c r="D775" s="1">
        <v>1.0</v>
      </c>
      <c r="E775" s="1" t="s">
        <v>98</v>
      </c>
      <c r="F775" s="1" t="s">
        <v>10</v>
      </c>
      <c r="G775" s="5" t="str">
        <f t="array" ref="G775">XLOOKUP(B775,LFinder!A:A,LFinder!B:B,"absent des plateformes")</f>
        <v>absent des plateformes</v>
      </c>
    </row>
    <row r="776">
      <c r="A776" s="3" t="s">
        <v>899</v>
      </c>
      <c r="B776" s="4" t="str">
        <f>IFERROR(__xludf.DUMMYFUNCTION("REGEXREPLACE(A776, ""^https?://(www\.)?|/.*"", """")"),"entreprendre.service-public.gouv.fr")</f>
        <v>entreprendre.service-public.gouv.fr</v>
      </c>
      <c r="C776" s="1" t="s">
        <v>8</v>
      </c>
      <c r="D776" s="1">
        <v>1.0</v>
      </c>
      <c r="E776" s="1" t="s">
        <v>51</v>
      </c>
      <c r="F776" s="1" t="s">
        <v>10</v>
      </c>
      <c r="G776" s="5" t="str">
        <f t="array" ref="G776">XLOOKUP(B776,LFinder!A:A,LFinder!B:B,"absent des plateformes")</f>
        <v>absent des plateformes</v>
      </c>
    </row>
    <row r="777">
      <c r="A777" s="3" t="s">
        <v>900</v>
      </c>
      <c r="B777" s="4" t="str">
        <f>IFERROR(__xludf.DUMMYFUNCTION("REGEXREPLACE(A777, ""^https?://(www\.)?|/.*"", """")"),"evidency.io")</f>
        <v>evidency.io</v>
      </c>
      <c r="C777" s="1" t="s">
        <v>50</v>
      </c>
      <c r="D777" s="1">
        <v>1.0</v>
      </c>
      <c r="E777" s="1" t="s">
        <v>66</v>
      </c>
      <c r="F777" s="1" t="s">
        <v>10</v>
      </c>
      <c r="G777" s="5" t="str">
        <f t="array" ref="G777">XLOOKUP(B777,LFinder!A:A,LFinder!B:B,"absent des plateformes")</f>
        <v>absent des plateformes</v>
      </c>
    </row>
    <row r="778">
      <c r="A778" s="3" t="s">
        <v>901</v>
      </c>
      <c r="B778" s="4" t="str">
        <f>IFERROR(__xludf.DUMMYFUNCTION("REGEXREPLACE(A778, ""^https?://(www\.)?|/.*"", """")"),"evidency.io")</f>
        <v>evidency.io</v>
      </c>
      <c r="C778" s="1" t="s">
        <v>8</v>
      </c>
      <c r="D778" s="1">
        <v>1.0</v>
      </c>
      <c r="E778" s="1" t="s">
        <v>98</v>
      </c>
      <c r="F778" s="1" t="s">
        <v>10</v>
      </c>
      <c r="G778" s="5" t="str">
        <f t="array" ref="G778">XLOOKUP(B778,LFinder!A:A,LFinder!B:B,"absent des plateformes")</f>
        <v>absent des plateformes</v>
      </c>
    </row>
    <row r="779">
      <c r="A779" s="3" t="s">
        <v>902</v>
      </c>
      <c r="B779" s="4" t="str">
        <f>IFERROR(__xludf.DUMMYFUNCTION("REGEXREPLACE(A779, ""^https?://(www\.)?|/.*"", """")"),"dimo-dematerialisation.com")</f>
        <v>dimo-dematerialisation.com</v>
      </c>
      <c r="C779" s="1" t="s">
        <v>8</v>
      </c>
      <c r="D779" s="1">
        <v>1.0</v>
      </c>
      <c r="E779" s="1" t="s">
        <v>98</v>
      </c>
      <c r="F779" s="1" t="s">
        <v>10</v>
      </c>
      <c r="G779" s="5" t="str">
        <f t="array" ref="G779">XLOOKUP(B779,LFinder!A:A,LFinder!B:B,"absent des plateformes")</f>
        <v>absent des plateformes</v>
      </c>
    </row>
    <row r="780">
      <c r="A780" s="3" t="s">
        <v>903</v>
      </c>
      <c r="B780" s="4" t="str">
        <f>IFERROR(__xludf.DUMMYFUNCTION("REGEXREPLACE(A780, ""^https?://(www\.)?|/.*"", """")"),"kanta.fr")</f>
        <v>kanta.fr</v>
      </c>
      <c r="C780" s="1" t="s">
        <v>8</v>
      </c>
      <c r="D780" s="1">
        <v>1.0</v>
      </c>
      <c r="E780" s="1" t="s">
        <v>98</v>
      </c>
      <c r="F780" s="1" t="s">
        <v>10</v>
      </c>
      <c r="G780" s="5" t="str">
        <f t="array" ref="G780">XLOOKUP(B780,LFinder!A:A,LFinder!B:B,"absent des plateformes")</f>
        <v>absent des plateformes</v>
      </c>
    </row>
    <row r="781">
      <c r="A781" s="3" t="s">
        <v>904</v>
      </c>
      <c r="B781" s="4" t="str">
        <f>IFERROR(__xludf.DUMMYFUNCTION("REGEXREPLACE(A781, ""^https?://(www\.)?|/.*"", """")"),"q3expertise.fr")</f>
        <v>q3expertise.fr</v>
      </c>
      <c r="C781" s="1" t="s">
        <v>8</v>
      </c>
      <c r="D781" s="1">
        <v>1.0</v>
      </c>
      <c r="E781" s="1" t="s">
        <v>736</v>
      </c>
      <c r="F781" s="1" t="s">
        <v>10</v>
      </c>
      <c r="G781" s="5" t="str">
        <f t="array" ref="G781">XLOOKUP(B781,LFinder!A:A,LFinder!B:B,"absent des plateformes")</f>
        <v>absent des plateformes</v>
      </c>
    </row>
    <row r="782">
      <c r="A782" s="3" t="s">
        <v>905</v>
      </c>
      <c r="B782" s="4" t="str">
        <f>IFERROR(__xludf.DUMMYFUNCTION("REGEXREPLACE(A782, ""^https?://(www\.)?|/.*"", """")"),"rydge.fr")</f>
        <v>rydge.fr</v>
      </c>
      <c r="C782" s="1" t="s">
        <v>8</v>
      </c>
      <c r="D782" s="1">
        <v>1.0</v>
      </c>
      <c r="E782" s="1" t="s">
        <v>38</v>
      </c>
      <c r="F782" s="1" t="s">
        <v>10</v>
      </c>
      <c r="G782" s="5" t="str">
        <f t="array" ref="G782">XLOOKUP(B782,LFinder!A:A,LFinder!B:B,"absent des plateformes")</f>
        <v>absent des plateformes</v>
      </c>
    </row>
    <row r="783">
      <c r="A783" s="3" t="s">
        <v>906</v>
      </c>
      <c r="B783" s="4" t="str">
        <f>IFERROR(__xludf.DUMMYFUNCTION("REGEXREPLACE(A783, ""^https?://(www\.)?|/.*"", """")"),"rydge.fr")</f>
        <v>rydge.fr</v>
      </c>
      <c r="C783" s="1" t="s">
        <v>8</v>
      </c>
      <c r="D783" s="1">
        <v>1.0</v>
      </c>
      <c r="E783" s="1" t="s">
        <v>736</v>
      </c>
      <c r="F783" s="1" t="s">
        <v>10</v>
      </c>
      <c r="G783" s="5" t="str">
        <f t="array" ref="G783">XLOOKUP(B783,LFinder!A:A,LFinder!B:B,"absent des plateformes")</f>
        <v>absent des plateformes</v>
      </c>
    </row>
    <row r="784">
      <c r="A784" s="3" t="s">
        <v>907</v>
      </c>
      <c r="B784" s="4" t="str">
        <f>IFERROR(__xludf.DUMMYFUNCTION("REGEXREPLACE(A784, ""^https?://(www\.)?|/.*"", """")"),"pont9.fr")</f>
        <v>pont9.fr</v>
      </c>
      <c r="C784" s="1" t="s">
        <v>8</v>
      </c>
      <c r="D784" s="1">
        <v>1.0</v>
      </c>
      <c r="E784" s="1" t="s">
        <v>736</v>
      </c>
      <c r="F784" s="1" t="s">
        <v>54</v>
      </c>
      <c r="G784" s="5" t="str">
        <f t="array" ref="G784">XLOOKUP(B784,LFinder!A:A,LFinder!B:B,"absent des plateformes")</f>
        <v>absent des plateformes</v>
      </c>
    </row>
    <row r="785">
      <c r="A785" s="3" t="s">
        <v>908</v>
      </c>
      <c r="B785" s="4" t="str">
        <f>IFERROR(__xludf.DUMMYFUNCTION("REGEXREPLACE(A785, ""^https?://(www\.)?|/.*"", """")"),"pont9.fr")</f>
        <v>pont9.fr</v>
      </c>
      <c r="C785" s="1" t="s">
        <v>8</v>
      </c>
      <c r="D785" s="1">
        <v>1.0</v>
      </c>
      <c r="E785" s="1" t="s">
        <v>736</v>
      </c>
      <c r="F785" s="1" t="s">
        <v>54</v>
      </c>
      <c r="G785" s="5" t="str">
        <f t="array" ref="G785">XLOOKUP(B785,LFinder!A:A,LFinder!B:B,"absent des plateformes")</f>
        <v>absent des plateformes</v>
      </c>
    </row>
    <row r="786">
      <c r="A786" s="3" t="s">
        <v>909</v>
      </c>
      <c r="B786" s="4" t="str">
        <f>IFERROR(__xludf.DUMMYFUNCTION("REGEXREPLACE(A786, ""^https?://(www\.)?|/.*"", """")"),"pont9.fr")</f>
        <v>pont9.fr</v>
      </c>
      <c r="C786" s="1" t="s">
        <v>8</v>
      </c>
      <c r="D786" s="1">
        <v>1.0</v>
      </c>
      <c r="E786" s="1" t="s">
        <v>736</v>
      </c>
      <c r="F786" s="1" t="s">
        <v>10</v>
      </c>
      <c r="G786" s="5" t="str">
        <f t="array" ref="G786">XLOOKUP(B786,LFinder!A:A,LFinder!B:B,"absent des plateformes")</f>
        <v>absent des plateformes</v>
      </c>
    </row>
    <row r="787">
      <c r="A787" s="3" t="s">
        <v>910</v>
      </c>
      <c r="B787" s="4" t="str">
        <f>IFERROR(__xludf.DUMMYFUNCTION("REGEXREPLACE(A787, ""^https?://(www\.)?|/.*"", """")"),"quanteos.fr")</f>
        <v>quanteos.fr</v>
      </c>
      <c r="C787" s="1" t="s">
        <v>8</v>
      </c>
      <c r="D787" s="1">
        <v>1.0</v>
      </c>
      <c r="E787" s="1" t="s">
        <v>736</v>
      </c>
      <c r="F787" s="1" t="s">
        <v>10</v>
      </c>
      <c r="G787" s="5" t="str">
        <f t="array" ref="G787">XLOOKUP(B787,LFinder!A:A,LFinder!B:B,"absent des plateformes")</f>
        <v>absent des plateformes</v>
      </c>
    </row>
    <row r="788">
      <c r="A788" s="3" t="s">
        <v>911</v>
      </c>
      <c r="B788" s="4" t="str">
        <f>IFERROR(__xludf.DUMMYFUNCTION("REGEXREPLACE(A788, ""^https?://(www\.)?|/.*"", """")"),"cabinetprevost.fr")</f>
        <v>cabinetprevost.fr</v>
      </c>
      <c r="C788" s="1" t="s">
        <v>8</v>
      </c>
      <c r="D788" s="1">
        <v>1.0</v>
      </c>
      <c r="E788" s="1" t="s">
        <v>736</v>
      </c>
      <c r="F788" s="1" t="s">
        <v>10</v>
      </c>
      <c r="G788" s="5" t="str">
        <f t="array" ref="G788">XLOOKUP(B788,LFinder!A:A,LFinder!B:B,"absent des plateformes")</f>
        <v>absent des plateformes</v>
      </c>
    </row>
    <row r="789">
      <c r="A789" s="3" t="s">
        <v>912</v>
      </c>
      <c r="B789" s="4" t="str">
        <f>IFERROR(__xludf.DUMMYFUNCTION("REGEXREPLACE(A789, ""^https?://(www\.)?|/.*"", """")"),"h4c-expertcomptable.fr")</f>
        <v>h4c-expertcomptable.fr</v>
      </c>
      <c r="C789" s="1" t="s">
        <v>8</v>
      </c>
      <c r="D789" s="1">
        <v>1.0</v>
      </c>
      <c r="E789" s="1" t="s">
        <v>736</v>
      </c>
      <c r="F789" s="1" t="s">
        <v>10</v>
      </c>
      <c r="G789" s="5" t="str">
        <f t="array" ref="G789">XLOOKUP(B789,LFinder!A:A,LFinder!B:B,"absent des plateformes")</f>
        <v>absent des plateformes</v>
      </c>
    </row>
    <row r="790">
      <c r="A790" s="3" t="s">
        <v>913</v>
      </c>
      <c r="B790" s="4" t="str">
        <f>IFERROR(__xludf.DUMMYFUNCTION("REGEXREPLACE(A790, ""^https?://(www\.)?|/.*"", """")"),"mcmanagement.fr")</f>
        <v>mcmanagement.fr</v>
      </c>
      <c r="C790" s="1" t="s">
        <v>8</v>
      </c>
      <c r="D790" s="1">
        <v>1.0</v>
      </c>
      <c r="E790" s="1" t="s">
        <v>736</v>
      </c>
      <c r="F790" s="1" t="s">
        <v>10</v>
      </c>
      <c r="G790" s="5" t="str">
        <f t="array" ref="G790">XLOOKUP(B790,LFinder!A:A,LFinder!B:B,"absent des plateformes")</f>
        <v>absent des plateformes</v>
      </c>
    </row>
    <row r="791">
      <c r="A791" s="3" t="s">
        <v>914</v>
      </c>
      <c r="B791" s="4" t="str">
        <f>IFERROR(__xludf.DUMMYFUNCTION("REGEXREPLACE(A791, ""^https?://(www\.)?|/.*"", """")"),"cabinet-centralys.fr")</f>
        <v>cabinet-centralys.fr</v>
      </c>
      <c r="C791" s="1" t="s">
        <v>8</v>
      </c>
      <c r="D791" s="1">
        <v>1.0</v>
      </c>
      <c r="E791" s="1" t="s">
        <v>736</v>
      </c>
      <c r="F791" s="1" t="s">
        <v>10</v>
      </c>
      <c r="G791" s="5" t="str">
        <f t="array" ref="G791">XLOOKUP(B791,LFinder!A:A,LFinder!B:B,"absent des plateformes")</f>
        <v>absent des plateformes</v>
      </c>
    </row>
    <row r="792">
      <c r="A792" s="3" t="s">
        <v>915</v>
      </c>
      <c r="B792" s="4" t="str">
        <f>IFERROR(__xludf.DUMMYFUNCTION("REGEXREPLACE(A792, ""^https?://(www\.)?|/.*"", """")"),"ilicompta.fr")</f>
        <v>ilicompta.fr</v>
      </c>
      <c r="C792" s="1" t="s">
        <v>8</v>
      </c>
      <c r="D792" s="1">
        <v>1.0</v>
      </c>
      <c r="E792" s="1" t="s">
        <v>736</v>
      </c>
      <c r="F792" s="1" t="s">
        <v>10</v>
      </c>
      <c r="G792" s="5" t="str">
        <f t="array" ref="G792">XLOOKUP(B792,LFinder!A:A,LFinder!B:B,"absent des plateformes")</f>
        <v>absent des plateformes</v>
      </c>
    </row>
    <row r="793">
      <c r="A793" s="3" t="s">
        <v>916</v>
      </c>
      <c r="B793" s="4" t="str">
        <f>IFERROR(__xludf.DUMMYFUNCTION("REGEXREPLACE(A793, ""^https?://(www\.)?|/.*"", """")"),"ilicompta.fr")</f>
        <v>ilicompta.fr</v>
      </c>
      <c r="C793" s="1" t="s">
        <v>8</v>
      </c>
      <c r="D793" s="1">
        <v>1.0</v>
      </c>
      <c r="E793" s="1" t="s">
        <v>736</v>
      </c>
      <c r="F793" s="1" t="s">
        <v>10</v>
      </c>
      <c r="G793" s="5" t="str">
        <f t="array" ref="G793">XLOOKUP(B793,LFinder!A:A,LFinder!B:B,"absent des plateformes")</f>
        <v>absent des plateformes</v>
      </c>
    </row>
    <row r="794">
      <c r="A794" s="3" t="s">
        <v>917</v>
      </c>
      <c r="B794" s="4" t="str">
        <f>IFERROR(__xludf.DUMMYFUNCTION("REGEXREPLACE(A794, ""^https?://(www\.)?|/.*"", """")"),"sofinorex.com")</f>
        <v>sofinorex.com</v>
      </c>
      <c r="C794" s="1" t="s">
        <v>8</v>
      </c>
      <c r="D794" s="1">
        <v>1.0</v>
      </c>
      <c r="E794" s="1" t="s">
        <v>736</v>
      </c>
      <c r="F794" s="1" t="s">
        <v>10</v>
      </c>
      <c r="G794" s="5" t="str">
        <f t="array" ref="G794">XLOOKUP(B794,LFinder!A:A,LFinder!B:B,"absent des plateformes")</f>
        <v>absent des plateformes</v>
      </c>
    </row>
    <row r="795">
      <c r="A795" s="3" t="s">
        <v>918</v>
      </c>
      <c r="B795" s="4" t="str">
        <f>IFERROR(__xludf.DUMMYFUNCTION("REGEXREPLACE(A795, ""^https?://(www\.)?|/.*"", """")"),"sofinorex.com")</f>
        <v>sofinorex.com</v>
      </c>
      <c r="C795" s="1" t="s">
        <v>8</v>
      </c>
      <c r="D795" s="1">
        <v>1.0</v>
      </c>
      <c r="E795" s="1" t="s">
        <v>736</v>
      </c>
      <c r="F795" s="1" t="s">
        <v>10</v>
      </c>
      <c r="G795" s="5" t="str">
        <f t="array" ref="G795">XLOOKUP(B795,LFinder!A:A,LFinder!B:B,"absent des plateformes")</f>
        <v>absent des plateformes</v>
      </c>
    </row>
    <row r="796">
      <c r="A796" s="3" t="s">
        <v>919</v>
      </c>
      <c r="B796" s="4" t="str">
        <f>IFERROR(__xludf.DUMMYFUNCTION("REGEXREPLACE(A796, ""^https?://(www\.)?|/.*"", """")"),"sofinorex.com")</f>
        <v>sofinorex.com</v>
      </c>
      <c r="C796" s="1" t="s">
        <v>8</v>
      </c>
      <c r="D796" s="1">
        <v>1.0</v>
      </c>
      <c r="E796" s="1" t="s">
        <v>736</v>
      </c>
      <c r="F796" s="1" t="s">
        <v>10</v>
      </c>
      <c r="G796" s="5" t="str">
        <f t="array" ref="G796">XLOOKUP(B796,LFinder!A:A,LFinder!B:B,"absent des plateformes")</f>
        <v>absent des plateformes</v>
      </c>
    </row>
    <row r="797">
      <c r="A797" s="3" t="s">
        <v>920</v>
      </c>
      <c r="B797" s="4" t="str">
        <f>IFERROR(__xludf.DUMMYFUNCTION("REGEXREPLACE(A797, ""^https?://(www\.)?|/.*"", """")"),"visionconseilfrance.fr")</f>
        <v>visionconseilfrance.fr</v>
      </c>
      <c r="C797" s="1" t="s">
        <v>8</v>
      </c>
      <c r="D797" s="1">
        <v>1.0</v>
      </c>
      <c r="E797" s="1" t="s">
        <v>200</v>
      </c>
      <c r="F797" s="1" t="s">
        <v>10</v>
      </c>
      <c r="G797" s="5" t="str">
        <f t="array" ref="G797">XLOOKUP(B797,LFinder!A:A,LFinder!B:B,"absent des plateformes")</f>
        <v>absent des plateformes</v>
      </c>
    </row>
    <row r="798">
      <c r="A798" s="3" t="s">
        <v>921</v>
      </c>
      <c r="B798" s="4" t="str">
        <f>IFERROR(__xludf.DUMMYFUNCTION("REGEXREPLACE(A798, ""^https?://(www\.)?|/.*"", """")"),"neoviaretraite.fr")</f>
        <v>neoviaretraite.fr</v>
      </c>
      <c r="C798" s="1" t="s">
        <v>8</v>
      </c>
      <c r="D798" s="1">
        <v>1.0</v>
      </c>
      <c r="E798" s="1" t="s">
        <v>200</v>
      </c>
      <c r="F798" s="1" t="s">
        <v>10</v>
      </c>
      <c r="G798" s="5" t="str">
        <f t="array" ref="G798">XLOOKUP(B798,LFinder!A:A,LFinder!B:B,"absent des plateformes")</f>
        <v>absent des plateformes</v>
      </c>
    </row>
    <row r="799">
      <c r="A799" s="3" t="s">
        <v>922</v>
      </c>
      <c r="B799" s="4" t="str">
        <f>IFERROR(__xludf.DUMMYFUNCTION("REGEXREPLACE(A799, ""^https?://(www\.)?|/.*"", """")"),"neoviaretraite.fr")</f>
        <v>neoviaretraite.fr</v>
      </c>
      <c r="C799" s="1" t="s">
        <v>8</v>
      </c>
      <c r="D799" s="1">
        <v>1.0</v>
      </c>
      <c r="E799" s="1" t="s">
        <v>61</v>
      </c>
      <c r="F799" s="1" t="s">
        <v>10</v>
      </c>
      <c r="G799" s="5" t="str">
        <f t="array" ref="G799">XLOOKUP(B799,LFinder!A:A,LFinder!B:B,"absent des plateformes")</f>
        <v>absent des plateformes</v>
      </c>
    </row>
    <row r="800">
      <c r="A800" s="3" t="s">
        <v>923</v>
      </c>
      <c r="B800" s="4" t="str">
        <f>IFERROR(__xludf.DUMMYFUNCTION("REGEXREPLACE(A800, ""^https?://(www\.)?|/.*"", """")"),"neoviaretraite.fr")</f>
        <v>neoviaretraite.fr</v>
      </c>
      <c r="C800" s="1" t="s">
        <v>8</v>
      </c>
      <c r="D800" s="1">
        <v>1.0</v>
      </c>
      <c r="E800" s="1" t="s">
        <v>200</v>
      </c>
      <c r="F800" s="1" t="s">
        <v>10</v>
      </c>
      <c r="G800" s="5" t="str">
        <f t="array" ref="G800">XLOOKUP(B800,LFinder!A:A,LFinder!B:B,"absent des plateformes")</f>
        <v>absent des plateformes</v>
      </c>
    </row>
    <row r="801">
      <c r="A801" s="3" t="s">
        <v>924</v>
      </c>
      <c r="B801" s="4" t="str">
        <f>IFERROR(__xludf.DUMMYFUNCTION("REGEXREPLACE(A801, ""^https?://(www\.)?|/.*"", """")"),"nord-pas-de-calais.cerfrance.fr")</f>
        <v>nord-pas-de-calais.cerfrance.fr</v>
      </c>
      <c r="C801" s="1" t="s">
        <v>8</v>
      </c>
      <c r="D801" s="1">
        <v>1.0</v>
      </c>
      <c r="E801" s="1" t="s">
        <v>47</v>
      </c>
      <c r="F801" s="1" t="s">
        <v>10</v>
      </c>
      <c r="G801" s="5" t="str">
        <f t="array" ref="G801">XLOOKUP(B801,LFinder!A:A,LFinder!B:B,"absent des plateformes")</f>
        <v>absent des plateformes</v>
      </c>
    </row>
    <row r="802">
      <c r="A802" s="3" t="s">
        <v>925</v>
      </c>
      <c r="B802" s="4" t="str">
        <f>IFERROR(__xludf.DUMMYFUNCTION("REGEXREPLACE(A802, ""^https?://(www\.)?|/.*"", """")"),"nord-pas-de-calais.cerfrance.fr")</f>
        <v>nord-pas-de-calais.cerfrance.fr</v>
      </c>
      <c r="C802" s="1" t="s">
        <v>8</v>
      </c>
      <c r="D802" s="1">
        <v>1.0</v>
      </c>
      <c r="E802" s="1" t="s">
        <v>98</v>
      </c>
      <c r="F802" s="1" t="s">
        <v>10</v>
      </c>
      <c r="G802" s="5" t="str">
        <f t="array" ref="G802">XLOOKUP(B802,LFinder!A:A,LFinder!B:B,"absent des plateformes")</f>
        <v>absent des plateformes</v>
      </c>
    </row>
    <row r="803">
      <c r="A803" s="3" t="s">
        <v>926</v>
      </c>
      <c r="B803" s="4" t="str">
        <f>IFERROR(__xludf.DUMMYFUNCTION("REGEXREPLACE(A803, ""^https?://(www\.)?|/.*"", """")"),"aeterniapatrimoine.fr")</f>
        <v>aeterniapatrimoine.fr</v>
      </c>
      <c r="C803" s="1" t="s">
        <v>8</v>
      </c>
      <c r="D803" s="1">
        <v>1.0</v>
      </c>
      <c r="E803" s="1" t="s">
        <v>63</v>
      </c>
      <c r="F803" s="1" t="s">
        <v>10</v>
      </c>
      <c r="G803" s="5" t="str">
        <f t="array" ref="G803">XLOOKUP(B803,LFinder!A:A,LFinder!B:B,"absent des plateformes")</f>
        <v>absent des plateformes</v>
      </c>
    </row>
    <row r="804">
      <c r="A804" s="3" t="s">
        <v>927</v>
      </c>
      <c r="B804" s="4" t="str">
        <f>IFERROR(__xludf.DUMMYFUNCTION("REGEXREPLACE(A804, ""^https?://(www\.)?|/.*"", """")"),"coligny.fr")</f>
        <v>coligny.fr</v>
      </c>
      <c r="C804" s="1" t="s">
        <v>8</v>
      </c>
      <c r="D804" s="1">
        <v>1.0</v>
      </c>
      <c r="E804" s="1" t="s">
        <v>200</v>
      </c>
      <c r="F804" s="1" t="s">
        <v>10</v>
      </c>
      <c r="G804" s="5" t="str">
        <f t="array" ref="G804">XLOOKUP(B804,LFinder!A:A,LFinder!B:B,"absent des plateformes")</f>
        <v>absent des plateformes</v>
      </c>
    </row>
    <row r="805">
      <c r="A805" s="3" t="s">
        <v>928</v>
      </c>
      <c r="B805" s="4" t="str">
        <f>IFERROR(__xludf.DUMMYFUNCTION("REGEXREPLACE(A805, ""^https?://(www\.)?|/.*"", """")"),"tide.co")</f>
        <v>tide.co</v>
      </c>
      <c r="C805" s="1" t="s">
        <v>8</v>
      </c>
      <c r="D805" s="1">
        <v>1.0</v>
      </c>
      <c r="E805" s="1" t="s">
        <v>16</v>
      </c>
      <c r="F805" s="1" t="s">
        <v>10</v>
      </c>
      <c r="G805" s="5" t="str">
        <f t="array" ref="G805">XLOOKUP(B805,LFinder!A:A,LFinder!B:B,"absent des plateformes")</f>
        <v>absent des plateformes</v>
      </c>
    </row>
    <row r="806">
      <c r="A806" s="3" t="s">
        <v>929</v>
      </c>
      <c r="B806" s="4" t="str">
        <f>IFERROR(__xludf.DUMMYFUNCTION("REGEXREPLACE(A806, ""^https?://(www\.)?|/.*"", """")"),"selectra.info")</f>
        <v>selectra.info</v>
      </c>
      <c r="C806" s="1" t="s">
        <v>8</v>
      </c>
      <c r="D806" s="1">
        <v>1.0</v>
      </c>
      <c r="E806" s="1" t="s">
        <v>82</v>
      </c>
      <c r="F806" s="1" t="s">
        <v>10</v>
      </c>
      <c r="G806" s="5" t="str">
        <f t="array" ref="G806">XLOOKUP(B806,LFinder!A:A,LFinder!B:B,"absent des plateformes")</f>
        <v>absent des plateformes</v>
      </c>
    </row>
    <row r="807">
      <c r="A807" s="3" t="s">
        <v>930</v>
      </c>
      <c r="B807" s="4" t="str">
        <f>IFERROR(__xludf.DUMMYFUNCTION("REGEXREPLACE(A807, ""^https?://(www\.)?|/.*"", """")"),"selectra.info")</f>
        <v>selectra.info</v>
      </c>
      <c r="C807" s="1" t="s">
        <v>8</v>
      </c>
      <c r="D807" s="1">
        <v>1.0</v>
      </c>
      <c r="E807" s="1" t="s">
        <v>14</v>
      </c>
      <c r="F807" s="1" t="s">
        <v>10</v>
      </c>
      <c r="G807" s="5" t="str">
        <f t="array" ref="G807">XLOOKUP(B807,LFinder!A:A,LFinder!B:B,"absent des plateformes")</f>
        <v>absent des plateformes</v>
      </c>
    </row>
    <row r="808">
      <c r="A808" s="3" t="s">
        <v>931</v>
      </c>
      <c r="B808" s="4" t="str">
        <f>IFERROR(__xludf.DUMMYFUNCTION("REGEXREPLACE(A808, ""^https?://(www\.)?|/.*"", """")"),"comeon-expert.com")</f>
        <v>comeon-expert.com</v>
      </c>
      <c r="C808" s="1" t="s">
        <v>8</v>
      </c>
      <c r="D808" s="1">
        <v>1.0</v>
      </c>
      <c r="E808" s="1" t="s">
        <v>736</v>
      </c>
      <c r="F808" s="1" t="s">
        <v>10</v>
      </c>
      <c r="G808" s="5" t="str">
        <f t="array" ref="G808">XLOOKUP(B808,LFinder!A:A,LFinder!B:B,"absent des plateformes")</f>
        <v>absent des plateformes</v>
      </c>
    </row>
    <row r="809">
      <c r="A809" s="3" t="s">
        <v>932</v>
      </c>
      <c r="B809" s="4" t="str">
        <f>IFERROR(__xludf.DUMMYFUNCTION("REGEXREPLACE(A809, ""^https?://(www\.)?|/.*"", """")"),"bourdatfinance.com")</f>
        <v>bourdatfinance.com</v>
      </c>
      <c r="C809" s="1" t="s">
        <v>8</v>
      </c>
      <c r="D809" s="1">
        <v>1.0</v>
      </c>
      <c r="E809" s="1" t="s">
        <v>736</v>
      </c>
      <c r="F809" s="1" t="s">
        <v>10</v>
      </c>
      <c r="G809" s="5" t="str">
        <f t="array" ref="G809">XLOOKUP(B809,LFinder!A:A,LFinder!B:B,"absent des plateformes")</f>
        <v>absent des plateformes</v>
      </c>
    </row>
    <row r="810">
      <c r="A810" s="3" t="s">
        <v>933</v>
      </c>
      <c r="B810" s="4" t="str">
        <f>IFERROR(__xludf.DUMMYFUNCTION("REGEXREPLACE(A810, ""^https?://(www\.)?|/.*"", """")"),"cabinet-d-expertcomptable.com")</f>
        <v>cabinet-d-expertcomptable.com</v>
      </c>
      <c r="C810" s="1" t="s">
        <v>8</v>
      </c>
      <c r="D810" s="1">
        <v>1.0</v>
      </c>
      <c r="E810" s="1" t="s">
        <v>736</v>
      </c>
      <c r="F810" s="1" t="s">
        <v>10</v>
      </c>
      <c r="G810" s="5" t="str">
        <f t="array" ref="G810">XLOOKUP(B810,LFinder!A:A,LFinder!B:B,"absent des plateformes")</f>
        <v>absent des plateformes</v>
      </c>
    </row>
    <row r="811">
      <c r="A811" s="3" t="s">
        <v>934</v>
      </c>
      <c r="B811" s="4" t="str">
        <f>IFERROR(__xludf.DUMMYFUNCTION("REGEXREPLACE(A811, ""^https?://(www\.)?|/.*"", """")"),"monsieur-compta.fr")</f>
        <v>monsieur-compta.fr</v>
      </c>
      <c r="C811" s="1" t="s">
        <v>8</v>
      </c>
      <c r="D811" s="1">
        <v>1.0</v>
      </c>
      <c r="E811" s="1" t="s">
        <v>736</v>
      </c>
      <c r="F811" s="1" t="s">
        <v>10</v>
      </c>
      <c r="G811" s="5" t="str">
        <f t="array" ref="G811">XLOOKUP(B811,LFinder!A:A,LFinder!B:B,"absent des plateformes")</f>
        <v>absent des plateformes</v>
      </c>
    </row>
    <row r="812">
      <c r="A812" s="3" t="s">
        <v>935</v>
      </c>
      <c r="B812" s="4" t="str">
        <f>IFERROR(__xludf.DUMMYFUNCTION("REGEXREPLACE(A812, ""^https?://(www\.)?|/.*"", """")"),"numbr.co")</f>
        <v>numbr.co</v>
      </c>
      <c r="C812" s="1" t="s">
        <v>8</v>
      </c>
      <c r="D812" s="1">
        <v>1.0</v>
      </c>
      <c r="E812" s="1" t="s">
        <v>736</v>
      </c>
      <c r="F812" s="1" t="s">
        <v>10</v>
      </c>
      <c r="G812" s="5" t="str">
        <f t="array" ref="G812">XLOOKUP(B812,LFinder!A:A,LFinder!B:B,"absent des plateformes")</f>
        <v>absent des plateformes</v>
      </c>
    </row>
    <row r="813">
      <c r="A813" s="3" t="s">
        <v>936</v>
      </c>
      <c r="B813" s="4" t="str">
        <f>IFERROR(__xludf.DUMMYFUNCTION("REGEXREPLACE(A813, ""^https?://(www\.)?|/.*"", """")"),"cabinet-lefebvre.fr")</f>
        <v>cabinet-lefebvre.fr</v>
      </c>
      <c r="C813" s="1" t="s">
        <v>8</v>
      </c>
      <c r="D813" s="1">
        <v>1.0</v>
      </c>
      <c r="E813" s="1" t="s">
        <v>736</v>
      </c>
      <c r="F813" s="1" t="s">
        <v>10</v>
      </c>
      <c r="G813" s="5" t="str">
        <f t="array" ref="G813">XLOOKUP(B813,LFinder!A:A,LFinder!B:B,"absent des plateformes")</f>
        <v>absent des plateformes</v>
      </c>
    </row>
    <row r="814">
      <c r="A814" s="3" t="s">
        <v>937</v>
      </c>
      <c r="B814" s="4" t="str">
        <f>IFERROR(__xludf.DUMMYFUNCTION("REGEXREPLACE(A814, ""^https?://(www\.)?|/.*"", """")"),"advyse.fr")</f>
        <v>advyse.fr</v>
      </c>
      <c r="C814" s="1" t="s">
        <v>8</v>
      </c>
      <c r="D814" s="1">
        <v>1.0</v>
      </c>
      <c r="E814" s="1" t="s">
        <v>736</v>
      </c>
      <c r="F814" s="1" t="s">
        <v>10</v>
      </c>
      <c r="G814" s="5" t="str">
        <f t="array" ref="G814">XLOOKUP(B814,LFinder!A:A,LFinder!B:B,"absent des plateformes")</f>
        <v>absent des plateformes</v>
      </c>
    </row>
    <row r="815">
      <c r="A815" s="3" t="s">
        <v>938</v>
      </c>
      <c r="B815" s="4" t="str">
        <f>IFERROR(__xludf.DUMMYFUNCTION("REGEXREPLACE(A815, ""^https?://(www\.)?|/.*"", """")"),"advyse.fr")</f>
        <v>advyse.fr</v>
      </c>
      <c r="C815" s="1" t="s">
        <v>8</v>
      </c>
      <c r="D815" s="1">
        <v>1.0</v>
      </c>
      <c r="E815" s="1" t="s">
        <v>736</v>
      </c>
      <c r="F815" s="1" t="s">
        <v>10</v>
      </c>
      <c r="G815" s="5" t="str">
        <f t="array" ref="G815">XLOOKUP(B815,LFinder!A:A,LFinder!B:B,"absent des plateformes")</f>
        <v>absent des plateformes</v>
      </c>
    </row>
    <row r="816">
      <c r="A816" s="3" t="s">
        <v>939</v>
      </c>
      <c r="B816" s="4" t="str">
        <f>IFERROR(__xludf.DUMMYFUNCTION("REGEXREPLACE(A816, ""^https?://(www\.)?|/.*"", """")"),"leopaie.fr")</f>
        <v>leopaie.fr</v>
      </c>
      <c r="C816" s="1" t="s">
        <v>8</v>
      </c>
      <c r="D816" s="1">
        <v>1.0</v>
      </c>
      <c r="E816" s="1" t="s">
        <v>45</v>
      </c>
      <c r="F816" s="1" t="s">
        <v>10</v>
      </c>
      <c r="G816" s="5" t="str">
        <f t="array" ref="G816">XLOOKUP(B816,LFinder!A:A,LFinder!B:B,"absent des plateformes")</f>
        <v>absent des plateformes</v>
      </c>
    </row>
    <row r="817">
      <c r="A817" s="3" t="s">
        <v>940</v>
      </c>
      <c r="B817" s="4" t="str">
        <f>IFERROR(__xludf.DUMMYFUNCTION("REGEXREPLACE(A817, ""^https?://(www\.)?|/.*"", """")"),"monembauchefacile.fr")</f>
        <v>monembauchefacile.fr</v>
      </c>
      <c r="C817" s="1" t="s">
        <v>8</v>
      </c>
      <c r="D817" s="1">
        <v>1.0</v>
      </c>
      <c r="E817" s="1" t="s">
        <v>45</v>
      </c>
      <c r="F817" s="1" t="s">
        <v>10</v>
      </c>
      <c r="G817" s="5" t="str">
        <f t="array" ref="G817">XLOOKUP(B817,LFinder!A:A,LFinder!B:B,"absent des plateformes")</f>
        <v>absent des plateformes</v>
      </c>
    </row>
    <row r="818">
      <c r="A818" s="3" t="s">
        <v>941</v>
      </c>
      <c r="B818" s="4" t="str">
        <f>IFERROR(__xludf.DUMMYFUNCTION("REGEXREPLACE(A818, ""^https?://(www\.)?|/.*"", """")"),"pc-consulting-paie.fr")</f>
        <v>pc-consulting-paie.fr</v>
      </c>
      <c r="C818" s="1" t="s">
        <v>8</v>
      </c>
      <c r="D818" s="1">
        <v>1.0</v>
      </c>
      <c r="E818" s="1" t="s">
        <v>45</v>
      </c>
      <c r="F818" s="1" t="s">
        <v>10</v>
      </c>
      <c r="G818" s="5" t="str">
        <f t="array" ref="G818">XLOOKUP(B818,LFinder!A:A,LFinder!B:B,"absent des plateformes")</f>
        <v>absent des plateformes</v>
      </c>
    </row>
    <row r="819">
      <c r="A819" s="3" t="s">
        <v>942</v>
      </c>
      <c r="B819" s="4" t="str">
        <f>IFERROR(__xludf.DUMMYFUNCTION("REGEXREPLACE(A819, ""^https?://(www\.)?|/.*"", """")"),"mapaye.fr")</f>
        <v>mapaye.fr</v>
      </c>
      <c r="C819" s="1" t="s">
        <v>8</v>
      </c>
      <c r="D819" s="1">
        <v>1.0</v>
      </c>
      <c r="E819" s="1" t="s">
        <v>31</v>
      </c>
      <c r="F819" s="1" t="s">
        <v>10</v>
      </c>
      <c r="G819" s="5" t="str">
        <f t="array" ref="G819">XLOOKUP(B819,LFinder!A:A,LFinder!B:B,"absent des plateformes")</f>
        <v>absent des plateformes</v>
      </c>
    </row>
    <row r="820">
      <c r="A820" s="3" t="s">
        <v>943</v>
      </c>
      <c r="B820" s="4" t="str">
        <f>IFERROR(__xludf.DUMMYFUNCTION("REGEXREPLACE(A820, ""^https?://(www\.)?|/.*"", """")"),"mapaye.fr")</f>
        <v>mapaye.fr</v>
      </c>
      <c r="C820" s="1" t="s">
        <v>8</v>
      </c>
      <c r="D820" s="1">
        <v>1.0</v>
      </c>
      <c r="E820" s="1" t="s">
        <v>31</v>
      </c>
      <c r="F820" s="1" t="s">
        <v>10</v>
      </c>
      <c r="G820" s="5" t="str">
        <f t="array" ref="G820">XLOOKUP(B820,LFinder!A:A,LFinder!B:B,"absent des plateformes")</f>
        <v>absent des plateformes</v>
      </c>
    </row>
    <row r="821">
      <c r="A821" s="3" t="s">
        <v>944</v>
      </c>
      <c r="B821" s="4" t="str">
        <f>IFERROR(__xludf.DUMMYFUNCTION("REGEXREPLACE(A821, ""^https?://(www\.)?|/.*"", """")"),"mapaye.fr")</f>
        <v>mapaye.fr</v>
      </c>
      <c r="C821" s="1" t="s">
        <v>8</v>
      </c>
      <c r="D821" s="1">
        <v>1.0</v>
      </c>
      <c r="E821" s="1" t="s">
        <v>45</v>
      </c>
      <c r="F821" s="1" t="s">
        <v>10</v>
      </c>
      <c r="G821" s="5" t="str">
        <f t="array" ref="G821">XLOOKUP(B821,LFinder!A:A,LFinder!B:B,"absent des plateformes")</f>
        <v>absent des plateformes</v>
      </c>
    </row>
    <row r="822">
      <c r="A822" s="3" t="s">
        <v>945</v>
      </c>
      <c r="B822" s="4" t="str">
        <f>IFERROR(__xludf.DUMMYFUNCTION("REGEXREPLACE(A822, ""^https?://(www\.)?|/.*"", """")"),"international-pratique.com")</f>
        <v>international-pratique.com</v>
      </c>
      <c r="C822" s="1" t="s">
        <v>8</v>
      </c>
      <c r="D822" s="1">
        <v>1.0</v>
      </c>
      <c r="E822" s="1" t="s">
        <v>66</v>
      </c>
      <c r="F822" s="1" t="s">
        <v>10</v>
      </c>
      <c r="G822" s="5" t="str">
        <f t="array" ref="G822">XLOOKUP(B822,LFinder!A:A,LFinder!B:B,"absent des plateformes")</f>
        <v>absent des plateformes</v>
      </c>
    </row>
    <row r="823">
      <c r="A823" s="3" t="s">
        <v>946</v>
      </c>
      <c r="B823" s="4" t="str">
        <f>IFERROR(__xludf.DUMMYFUNCTION("REGEXREPLACE(A823, ""^https?://(www\.)?|/.*"", """")"),"expert-comptable-en-ligne.fr")</f>
        <v>expert-comptable-en-ligne.fr</v>
      </c>
      <c r="C823" s="1" t="s">
        <v>8</v>
      </c>
      <c r="D823" s="1">
        <v>1.0</v>
      </c>
      <c r="E823" s="1" t="s">
        <v>43</v>
      </c>
      <c r="F823" s="1" t="s">
        <v>10</v>
      </c>
      <c r="G823" s="5" t="str">
        <f t="array" ref="G823">XLOOKUP(B823,LFinder!A:A,LFinder!B:B,"absent des plateformes")</f>
        <v>absent des plateformes</v>
      </c>
    </row>
    <row r="824">
      <c r="A824" s="3" t="s">
        <v>947</v>
      </c>
      <c r="B824" s="4" t="str">
        <f>IFERROR(__xludf.DUMMYFUNCTION("REGEXREPLACE(A824, ""^https?://(www\.)?|/.*"", """")"),"l-expert-comptable.com")</f>
        <v>l-expert-comptable.com</v>
      </c>
      <c r="C824" s="1" t="s">
        <v>8</v>
      </c>
      <c r="D824" s="1">
        <v>1.0</v>
      </c>
      <c r="E824" s="1" t="s">
        <v>38</v>
      </c>
      <c r="F824" s="1" t="s">
        <v>10</v>
      </c>
      <c r="G824" s="5" t="str">
        <f t="array" ref="G824">XLOOKUP(B824,LFinder!A:A,LFinder!B:B,"absent des plateformes")</f>
        <v>absent des plateformes</v>
      </c>
    </row>
    <row r="825">
      <c r="A825" s="3" t="s">
        <v>948</v>
      </c>
      <c r="B825" s="4" t="str">
        <f>IFERROR(__xludf.DUMMYFUNCTION("REGEXREPLACE(A825, ""^https?://(www\.)?|/.*"", """")"),"l-expert-comptable.com")</f>
        <v>l-expert-comptable.com</v>
      </c>
      <c r="C825" s="1" t="s">
        <v>8</v>
      </c>
      <c r="D825" s="1">
        <v>1.0</v>
      </c>
      <c r="E825" s="1" t="s">
        <v>38</v>
      </c>
      <c r="F825" s="1" t="s">
        <v>10</v>
      </c>
      <c r="G825" s="5" t="str">
        <f t="array" ref="G825">XLOOKUP(B825,LFinder!A:A,LFinder!B:B,"absent des plateformes")</f>
        <v>absent des plateformes</v>
      </c>
    </row>
    <row r="826">
      <c r="A826" s="3" t="s">
        <v>949</v>
      </c>
      <c r="B826" s="4" t="str">
        <f>IFERROR(__xludf.DUMMYFUNCTION("REGEXREPLACE(A826, ""^https?://(www\.)?|/.*"", """")"),"l-expert-comptable.com")</f>
        <v>l-expert-comptable.com</v>
      </c>
      <c r="C826" s="1" t="s">
        <v>8</v>
      </c>
      <c r="D826" s="1">
        <v>1.0</v>
      </c>
      <c r="E826" s="1" t="s">
        <v>38</v>
      </c>
      <c r="F826" s="1" t="s">
        <v>10</v>
      </c>
      <c r="G826" s="5" t="str">
        <f t="array" ref="G826">XLOOKUP(B826,LFinder!A:A,LFinder!B:B,"absent des plateformes")</f>
        <v>absent des plateformes</v>
      </c>
    </row>
    <row r="827">
      <c r="A827" s="3" t="s">
        <v>950</v>
      </c>
      <c r="B827" s="4" t="str">
        <f>IFERROR(__xludf.DUMMYFUNCTION("REGEXREPLACE(A827, ""^https?://(www\.)?|/.*"", """")"),"l-expert-comptable.com")</f>
        <v>l-expert-comptable.com</v>
      </c>
      <c r="C827" s="1" t="s">
        <v>8</v>
      </c>
      <c r="D827" s="1">
        <v>1.0</v>
      </c>
      <c r="E827" s="1" t="s">
        <v>736</v>
      </c>
      <c r="F827" s="1" t="s">
        <v>10</v>
      </c>
      <c r="G827" s="5" t="str">
        <f t="array" ref="G827">XLOOKUP(B827,LFinder!A:A,LFinder!B:B,"absent des plateformes")</f>
        <v>absent des plateformes</v>
      </c>
    </row>
    <row r="828">
      <c r="A828" s="3" t="s">
        <v>951</v>
      </c>
      <c r="B828" s="4" t="str">
        <f>IFERROR(__xludf.DUMMYFUNCTION("REGEXREPLACE(A828, ""^https?://(www\.)?|/.*"", """")"),"shine.fr")</f>
        <v>shine.fr</v>
      </c>
      <c r="C828" s="1" t="s">
        <v>8</v>
      </c>
      <c r="D828" s="1">
        <v>1.0</v>
      </c>
      <c r="E828" s="1" t="s">
        <v>91</v>
      </c>
      <c r="F828" s="1" t="s">
        <v>10</v>
      </c>
      <c r="G828" s="5" t="str">
        <f t="array" ref="G828">XLOOKUP(B828,LFinder!A:A,LFinder!B:B,"absent des plateformes")</f>
        <v>absent des plateformes</v>
      </c>
    </row>
    <row r="829">
      <c r="A829" s="3" t="s">
        <v>952</v>
      </c>
      <c r="B829" s="4" t="str">
        <f>IFERROR(__xludf.DUMMYFUNCTION("REGEXREPLACE(A829, ""^https?://(www\.)?|/.*"", """")"),"shine.fr")</f>
        <v>shine.fr</v>
      </c>
      <c r="C829" s="1" t="s">
        <v>8</v>
      </c>
      <c r="D829" s="1">
        <v>1.0</v>
      </c>
      <c r="E829" s="1" t="s">
        <v>51</v>
      </c>
      <c r="F829" s="1" t="s">
        <v>10</v>
      </c>
      <c r="G829" s="5" t="str">
        <f t="array" ref="G829">XLOOKUP(B829,LFinder!A:A,LFinder!B:B,"absent des plateformes")</f>
        <v>absent des plateformes</v>
      </c>
    </row>
    <row r="830">
      <c r="A830" s="3" t="s">
        <v>953</v>
      </c>
      <c r="B830" s="4" t="str">
        <f>IFERROR(__xludf.DUMMYFUNCTION("REGEXREPLACE(A830, ""^https?://(www\.)?|/.*"", """")"),"shine.fr")</f>
        <v>shine.fr</v>
      </c>
      <c r="C830" s="1" t="s">
        <v>8</v>
      </c>
      <c r="D830" s="1">
        <v>1.0</v>
      </c>
      <c r="E830" s="1" t="s">
        <v>51</v>
      </c>
      <c r="F830" s="1" t="s">
        <v>10</v>
      </c>
      <c r="G830" s="5" t="str">
        <f t="array" ref="G830">XLOOKUP(B830,LFinder!A:A,LFinder!B:B,"absent des plateformes")</f>
        <v>absent des plateformes</v>
      </c>
    </row>
    <row r="831">
      <c r="A831" s="3" t="s">
        <v>954</v>
      </c>
      <c r="B831" s="4" t="str">
        <f>IFERROR(__xludf.DUMMYFUNCTION("REGEXREPLACE(A831, ""^https?://(www\.)?|/.*"", """")"),"shine.fr")</f>
        <v>shine.fr</v>
      </c>
      <c r="C831" s="1" t="s">
        <v>8</v>
      </c>
      <c r="D831" s="1">
        <v>1.0</v>
      </c>
      <c r="E831" s="1" t="s">
        <v>51</v>
      </c>
      <c r="F831" s="1" t="s">
        <v>10</v>
      </c>
      <c r="G831" s="5" t="str">
        <f t="array" ref="G831">XLOOKUP(B831,LFinder!A:A,LFinder!B:B,"absent des plateformes")</f>
        <v>absent des plateformes</v>
      </c>
    </row>
    <row r="832">
      <c r="A832" s="3" t="s">
        <v>955</v>
      </c>
      <c r="B832" s="4" t="str">
        <f>IFERROR(__xludf.DUMMYFUNCTION("REGEXREPLACE(A832, ""^https?://(www\.)?|/.*"", """")"),"shine.fr")</f>
        <v>shine.fr</v>
      </c>
      <c r="C832" s="1" t="s">
        <v>8</v>
      </c>
      <c r="D832" s="1">
        <v>1.0</v>
      </c>
      <c r="E832" s="1" t="s">
        <v>51</v>
      </c>
      <c r="F832" s="1" t="s">
        <v>10</v>
      </c>
      <c r="G832" s="5" t="str">
        <f t="array" ref="G832">XLOOKUP(B832,LFinder!A:A,LFinder!B:B,"absent des plateformes")</f>
        <v>absent des plateformes</v>
      </c>
    </row>
    <row r="833">
      <c r="A833" s="3" t="s">
        <v>956</v>
      </c>
      <c r="B833" s="4" t="str">
        <f>IFERROR(__xludf.DUMMYFUNCTION("REGEXREPLACE(A833, ""^https?://(www\.)?|/.*"", """")"),"shine.fr")</f>
        <v>shine.fr</v>
      </c>
      <c r="C833" s="1" t="s">
        <v>8</v>
      </c>
      <c r="D833" s="1">
        <v>1.0</v>
      </c>
      <c r="E833" s="1" t="s">
        <v>16</v>
      </c>
      <c r="F833" s="1" t="s">
        <v>10</v>
      </c>
      <c r="G833" s="5" t="str">
        <f t="array" ref="G833">XLOOKUP(B833,LFinder!A:A,LFinder!B:B,"absent des plateformes")</f>
        <v>absent des plateformes</v>
      </c>
    </row>
    <row r="834">
      <c r="A834" s="3" t="s">
        <v>957</v>
      </c>
      <c r="B834" s="4" t="str">
        <f>IFERROR(__xludf.DUMMYFUNCTION("REGEXREPLACE(A834, ""^https?://(www\.)?|/.*"", """")"),"shine.fr")</f>
        <v>shine.fr</v>
      </c>
      <c r="C834" s="1" t="s">
        <v>8</v>
      </c>
      <c r="D834" s="1">
        <v>1.0</v>
      </c>
      <c r="E834" s="1" t="s">
        <v>14</v>
      </c>
      <c r="F834" s="1" t="s">
        <v>10</v>
      </c>
      <c r="G834" s="5" t="str">
        <f t="array" ref="G834">XLOOKUP(B834,LFinder!A:A,LFinder!B:B,"absent des plateformes")</f>
        <v>absent des plateformes</v>
      </c>
    </row>
    <row r="835">
      <c r="A835" s="3" t="s">
        <v>958</v>
      </c>
      <c r="B835" s="4" t="str">
        <f>IFERROR(__xludf.DUMMYFUNCTION("REGEXREPLACE(A835, ""^https?://(www\.)?|/.*"", """")"),"shine.fr")</f>
        <v>shine.fr</v>
      </c>
      <c r="C835" s="1" t="s">
        <v>8</v>
      </c>
      <c r="D835" s="1">
        <v>1.0</v>
      </c>
      <c r="E835" s="1" t="s">
        <v>174</v>
      </c>
      <c r="F835" s="1" t="s">
        <v>10</v>
      </c>
      <c r="G835" s="5" t="str">
        <f t="array" ref="G835">XLOOKUP(B835,LFinder!A:A,LFinder!B:B,"absent des plateformes")</f>
        <v>absent des plateformes</v>
      </c>
    </row>
    <row r="836">
      <c r="A836" s="3" t="s">
        <v>959</v>
      </c>
      <c r="B836" s="4" t="str">
        <f>IFERROR(__xludf.DUMMYFUNCTION("REGEXREPLACE(A836, ""^https?://(www\.)?|/.*"", """")"),"shine.fr")</f>
        <v>shine.fr</v>
      </c>
      <c r="C836" s="1" t="s">
        <v>8</v>
      </c>
      <c r="D836" s="1">
        <v>1.0</v>
      </c>
      <c r="E836" s="1" t="s">
        <v>174</v>
      </c>
      <c r="F836" s="1" t="s">
        <v>10</v>
      </c>
      <c r="G836" s="5" t="str">
        <f t="array" ref="G836">XLOOKUP(B836,LFinder!A:A,LFinder!B:B,"absent des plateformes")</f>
        <v>absent des plateformes</v>
      </c>
    </row>
    <row r="837">
      <c r="A837" s="3" t="s">
        <v>960</v>
      </c>
      <c r="B837" s="4" t="str">
        <f>IFERROR(__xludf.DUMMYFUNCTION("REGEXREPLACE(A837, ""^https?://(www\.)?|/.*"", """")"),"shine.fr")</f>
        <v>shine.fr</v>
      </c>
      <c r="C837" s="1" t="s">
        <v>8</v>
      </c>
      <c r="D837" s="1">
        <v>1.0</v>
      </c>
      <c r="E837" s="1" t="s">
        <v>174</v>
      </c>
      <c r="F837" s="1" t="s">
        <v>10</v>
      </c>
      <c r="G837" s="5" t="str">
        <f t="array" ref="G837">XLOOKUP(B837,LFinder!A:A,LFinder!B:B,"absent des plateformes")</f>
        <v>absent des plateformes</v>
      </c>
    </row>
    <row r="838">
      <c r="A838" s="3" t="s">
        <v>961</v>
      </c>
      <c r="B838" s="4" t="str">
        <f>IFERROR(__xludf.DUMMYFUNCTION("REGEXREPLACE(A838, ""^https?://(www\.)?|/.*"", """")"),"shine.fr")</f>
        <v>shine.fr</v>
      </c>
      <c r="C838" s="1" t="s">
        <v>8</v>
      </c>
      <c r="D838" s="1">
        <v>1.0</v>
      </c>
      <c r="E838" s="1" t="s">
        <v>43</v>
      </c>
      <c r="F838" s="1" t="s">
        <v>10</v>
      </c>
      <c r="G838" s="5" t="str">
        <f t="array" ref="G838">XLOOKUP(B838,LFinder!A:A,LFinder!B:B,"absent des plateformes")</f>
        <v>absent des plateformes</v>
      </c>
    </row>
    <row r="839">
      <c r="A839" s="3" t="s">
        <v>962</v>
      </c>
      <c r="B839" s="4" t="str">
        <f>IFERROR(__xludf.DUMMYFUNCTION("REGEXREPLACE(A839, ""^https?://(www\.)?|/.*"", """")"),"shine.fr")</f>
        <v>shine.fr</v>
      </c>
      <c r="C839" s="1" t="s">
        <v>8</v>
      </c>
      <c r="D839" s="1">
        <v>1.0</v>
      </c>
      <c r="E839" s="1" t="s">
        <v>43</v>
      </c>
      <c r="F839" s="1" t="s">
        <v>10</v>
      </c>
      <c r="G839" s="5" t="str">
        <f t="array" ref="G839">XLOOKUP(B839,LFinder!A:A,LFinder!B:B,"absent des plateformes")</f>
        <v>absent des plateformes</v>
      </c>
    </row>
    <row r="840">
      <c r="A840" s="3" t="s">
        <v>963</v>
      </c>
      <c r="B840" s="4" t="str">
        <f>IFERROR(__xludf.DUMMYFUNCTION("REGEXREPLACE(A840, ""^https?://(www\.)?|/.*"", """")"),"swisslife.fr")</f>
        <v>swisslife.fr</v>
      </c>
      <c r="C840" s="1" t="s">
        <v>8</v>
      </c>
      <c r="D840" s="1">
        <v>1.0</v>
      </c>
      <c r="E840" s="1" t="s">
        <v>200</v>
      </c>
      <c r="F840" s="1" t="s">
        <v>10</v>
      </c>
      <c r="G840" s="5" t="str">
        <f t="array" ref="G840">XLOOKUP(B840,LFinder!A:A,LFinder!B:B,"absent des plateformes")</f>
        <v>absent des plateformes</v>
      </c>
    </row>
    <row r="841">
      <c r="A841" s="3" t="s">
        <v>964</v>
      </c>
      <c r="B841" s="4" t="str">
        <f>IFERROR(__xludf.DUMMYFUNCTION("REGEXREPLACE(A841, ""^https?://(www\.)?|/.*"", """")"),"swisslife.fr")</f>
        <v>swisslife.fr</v>
      </c>
      <c r="C841" s="1" t="s">
        <v>8</v>
      </c>
      <c r="D841" s="1">
        <v>1.0</v>
      </c>
      <c r="E841" s="1" t="s">
        <v>61</v>
      </c>
      <c r="F841" s="1" t="s">
        <v>10</v>
      </c>
      <c r="G841" s="5" t="str">
        <f t="array" ref="G841">XLOOKUP(B841,LFinder!A:A,LFinder!B:B,"absent des plateformes")</f>
        <v>absent des plateformes</v>
      </c>
    </row>
    <row r="842">
      <c r="A842" s="3" t="s">
        <v>965</v>
      </c>
      <c r="B842" s="4" t="str">
        <f>IFERROR(__xludf.DUMMYFUNCTION("REGEXREPLACE(A842, ""^https?://(www\.)?|/.*"", """")"),"agirc-arrco.fr")</f>
        <v>agirc-arrco.fr</v>
      </c>
      <c r="C842" s="1" t="s">
        <v>8</v>
      </c>
      <c r="D842" s="1">
        <v>1.0</v>
      </c>
      <c r="E842" s="1" t="s">
        <v>507</v>
      </c>
      <c r="F842" s="1" t="s">
        <v>10</v>
      </c>
      <c r="G842" s="5" t="str">
        <f t="array" ref="G842">XLOOKUP(B842,LFinder!A:A,LFinder!B:B,"absent des plateformes")</f>
        <v>absent des plateformes</v>
      </c>
    </row>
    <row r="843">
      <c r="A843" s="3" t="s">
        <v>966</v>
      </c>
      <c r="B843" s="4" t="str">
        <f>IFERROR(__xludf.DUMMYFUNCTION("REGEXREPLACE(A843, ""^https?://(www\.)?|/.*"", """")"),"agirc-arrco.fr")</f>
        <v>agirc-arrco.fr</v>
      </c>
      <c r="C843" s="1" t="s">
        <v>8</v>
      </c>
      <c r="D843" s="1">
        <v>1.0</v>
      </c>
      <c r="E843" s="1" t="s">
        <v>507</v>
      </c>
      <c r="F843" s="1" t="s">
        <v>10</v>
      </c>
      <c r="G843" s="5" t="str">
        <f t="array" ref="G843">XLOOKUP(B843,LFinder!A:A,LFinder!B:B,"absent des plateformes")</f>
        <v>absent des plateformes</v>
      </c>
    </row>
    <row r="844">
      <c r="A844" s="3" t="s">
        <v>967</v>
      </c>
      <c r="B844" s="4" t="str">
        <f>IFERROR(__xludf.DUMMYFUNCTION("REGEXREPLACE(A844, ""^https?://(www\.)?|/.*"", """")"),"agirc-arrco.fr")</f>
        <v>agirc-arrco.fr</v>
      </c>
      <c r="C844" s="1" t="s">
        <v>8</v>
      </c>
      <c r="D844" s="1">
        <v>1.0</v>
      </c>
      <c r="E844" s="1" t="s">
        <v>61</v>
      </c>
      <c r="F844" s="1" t="s">
        <v>10</v>
      </c>
      <c r="G844" s="5" t="str">
        <f t="array" ref="G844">XLOOKUP(B844,LFinder!A:A,LFinder!B:B,"absent des plateformes")</f>
        <v>absent des plateformes</v>
      </c>
    </row>
    <row r="845">
      <c r="A845" s="3" t="s">
        <v>968</v>
      </c>
      <c r="B845" s="4" t="str">
        <f>IFERROR(__xludf.DUMMYFUNCTION("REGEXREPLACE(A845, ""^https?://(www\.)?|/.*"", """")"),"agirc-arrco.fr")</f>
        <v>agirc-arrco.fr</v>
      </c>
      <c r="C845" s="1" t="s">
        <v>8</v>
      </c>
      <c r="D845" s="1">
        <v>1.0</v>
      </c>
      <c r="E845" s="1" t="s">
        <v>507</v>
      </c>
      <c r="F845" s="1" t="s">
        <v>10</v>
      </c>
      <c r="G845" s="5" t="str">
        <f t="array" ref="G845">XLOOKUP(B845,LFinder!A:A,LFinder!B:B,"absent des plateformes")</f>
        <v>absent des plateformes</v>
      </c>
    </row>
    <row r="846">
      <c r="A846" s="3" t="s">
        <v>969</v>
      </c>
      <c r="B846" s="4" t="str">
        <f>IFERROR(__xludf.DUMMYFUNCTION("REGEXREPLACE(A846, ""^https?://(www\.)?|/.*"", """")"),"agirc-arrco.fr")</f>
        <v>agirc-arrco.fr</v>
      </c>
      <c r="C846" s="1" t="s">
        <v>8</v>
      </c>
      <c r="D846" s="1">
        <v>1.0</v>
      </c>
      <c r="E846" s="1" t="s">
        <v>61</v>
      </c>
      <c r="F846" s="1" t="s">
        <v>10</v>
      </c>
      <c r="G846" s="5" t="str">
        <f t="array" ref="G846">XLOOKUP(B846,LFinder!A:A,LFinder!B:B,"absent des plateformes")</f>
        <v>absent des plateformes</v>
      </c>
    </row>
    <row r="847">
      <c r="A847" s="3" t="s">
        <v>970</v>
      </c>
      <c r="B847" s="4" t="str">
        <f>IFERROR(__xludf.DUMMYFUNCTION("REGEXREPLACE(A847, ""^https?://(www\.)?|/.*"", """")"),"agirc-arrco.fr")</f>
        <v>agirc-arrco.fr</v>
      </c>
      <c r="C847" s="1" t="s">
        <v>8</v>
      </c>
      <c r="D847" s="1">
        <v>1.0</v>
      </c>
      <c r="E847" s="1" t="s">
        <v>61</v>
      </c>
      <c r="F847" s="1" t="s">
        <v>10</v>
      </c>
      <c r="G847" s="5" t="str">
        <f t="array" ref="G847">XLOOKUP(B847,LFinder!A:A,LFinder!B:B,"absent des plateformes")</f>
        <v>absent des plateformes</v>
      </c>
    </row>
    <row r="848">
      <c r="A848" s="3" t="s">
        <v>971</v>
      </c>
      <c r="B848" s="4" t="str">
        <f>IFERROR(__xludf.DUMMYFUNCTION("REGEXREPLACE(A848, ""^https?://(www\.)?|/.*"", """")"),"agirc-arrco.fr")</f>
        <v>agirc-arrco.fr</v>
      </c>
      <c r="C848" s="1" t="s">
        <v>8</v>
      </c>
      <c r="D848" s="1">
        <v>1.0</v>
      </c>
      <c r="E848" s="1" t="s">
        <v>61</v>
      </c>
      <c r="F848" s="1" t="s">
        <v>10</v>
      </c>
      <c r="G848" s="5" t="str">
        <f t="array" ref="G848">XLOOKUP(B848,LFinder!A:A,LFinder!B:B,"absent des plateformes")</f>
        <v>absent des plateformes</v>
      </c>
    </row>
    <row r="849">
      <c r="A849" s="3" t="s">
        <v>972</v>
      </c>
      <c r="B849" s="4" t="str">
        <f>IFERROR(__xludf.DUMMYFUNCTION("REGEXREPLACE(A849, ""^https?://(www\.)?|/.*"", """")"),"agirc-arrco.fr")</f>
        <v>agirc-arrco.fr</v>
      </c>
      <c r="C849" s="1" t="s">
        <v>8</v>
      </c>
      <c r="D849" s="1">
        <v>1.0</v>
      </c>
      <c r="E849" s="1" t="s">
        <v>61</v>
      </c>
      <c r="F849" s="1" t="s">
        <v>10</v>
      </c>
      <c r="G849" s="5" t="str">
        <f t="array" ref="G849">XLOOKUP(B849,LFinder!A:A,LFinder!B:B,"absent des plateformes")</f>
        <v>absent des plateformes</v>
      </c>
    </row>
    <row r="850">
      <c r="A850" s="3" t="s">
        <v>973</v>
      </c>
      <c r="B850" s="4" t="str">
        <f>IFERROR(__xludf.DUMMYFUNCTION("REGEXREPLACE(A850, ""^https?://(www\.)?|/.*"", """")"),"agirc-arrco.fr")</f>
        <v>agirc-arrco.fr</v>
      </c>
      <c r="C850" s="1" t="s">
        <v>8</v>
      </c>
      <c r="D850" s="1">
        <v>1.0</v>
      </c>
      <c r="E850" s="1" t="s">
        <v>61</v>
      </c>
      <c r="F850" s="1" t="s">
        <v>10</v>
      </c>
      <c r="G850" s="5" t="str">
        <f t="array" ref="G850">XLOOKUP(B850,LFinder!A:A,LFinder!B:B,"absent des plateformes")</f>
        <v>absent des plateformes</v>
      </c>
    </row>
    <row r="851">
      <c r="A851" s="3" t="s">
        <v>974</v>
      </c>
      <c r="B851" s="4" t="str">
        <f>IFERROR(__xludf.DUMMYFUNCTION("REGEXREPLACE(A851, ""^https?://(www\.)?|/.*"", """")"),"agirc-arrco.fr")</f>
        <v>agirc-arrco.fr</v>
      </c>
      <c r="C851" s="1" t="s">
        <v>8</v>
      </c>
      <c r="D851" s="1">
        <v>1.0</v>
      </c>
      <c r="E851" s="1" t="s">
        <v>61</v>
      </c>
      <c r="F851" s="1" t="s">
        <v>10</v>
      </c>
      <c r="G851" s="5" t="str">
        <f t="array" ref="G851">XLOOKUP(B851,LFinder!A:A,LFinder!B:B,"absent des plateformes")</f>
        <v>absent des plateformes</v>
      </c>
    </row>
    <row r="852">
      <c r="A852" s="3" t="s">
        <v>975</v>
      </c>
      <c r="B852" s="4" t="str">
        <f>IFERROR(__xludf.DUMMYFUNCTION("REGEXREPLACE(A852, ""^https?://(www\.)?|/.*"", """")"),"legalstart.fr")</f>
        <v>legalstart.fr</v>
      </c>
      <c r="C852" s="1" t="s">
        <v>50</v>
      </c>
      <c r="D852" s="1">
        <v>1.0</v>
      </c>
      <c r="E852" s="1" t="s">
        <v>66</v>
      </c>
      <c r="F852" s="1" t="s">
        <v>10</v>
      </c>
      <c r="G852" s="5" t="str">
        <f t="array" ref="G852">XLOOKUP(B852,LFinder!A:A,LFinder!B:B,"absent des plateformes")</f>
        <v>absent des plateformes</v>
      </c>
    </row>
    <row r="853">
      <c r="A853" s="3" t="s">
        <v>976</v>
      </c>
      <c r="B853" s="4" t="str">
        <f>IFERROR(__xludf.DUMMYFUNCTION("REGEXREPLACE(A853, ""^https?://(www\.)?|/.*"", """")"),"legalstart.fr")</f>
        <v>legalstart.fr</v>
      </c>
      <c r="C853" s="1" t="s">
        <v>50</v>
      </c>
      <c r="D853" s="1">
        <v>1.0</v>
      </c>
      <c r="E853" s="1" t="s">
        <v>66</v>
      </c>
      <c r="F853" s="1" t="s">
        <v>10</v>
      </c>
      <c r="G853" s="5" t="str">
        <f t="array" ref="G853">XLOOKUP(B853,LFinder!A:A,LFinder!B:B,"absent des plateformes")</f>
        <v>absent des plateformes</v>
      </c>
    </row>
    <row r="854">
      <c r="A854" s="3" t="s">
        <v>977</v>
      </c>
      <c r="B854" s="4" t="str">
        <f>IFERROR(__xludf.DUMMYFUNCTION("REGEXREPLACE(A854, ""^https?://(www\.)?|/.*"", """")"),"legalstart.fr")</f>
        <v>legalstart.fr</v>
      </c>
      <c r="C854" s="1" t="s">
        <v>8</v>
      </c>
      <c r="D854" s="1">
        <v>1.0</v>
      </c>
      <c r="E854" s="1" t="s">
        <v>736</v>
      </c>
      <c r="F854" s="1" t="s">
        <v>10</v>
      </c>
      <c r="G854" s="5" t="str">
        <f t="array" ref="G854">XLOOKUP(B854,LFinder!A:A,LFinder!B:B,"absent des plateformes")</f>
        <v>absent des plateformes</v>
      </c>
    </row>
    <row r="855">
      <c r="A855" s="3" t="s">
        <v>978</v>
      </c>
      <c r="B855" s="4" t="str">
        <f>IFERROR(__xludf.DUMMYFUNCTION("REGEXREPLACE(A855, ""^https?://(www\.)?|/.*"", """")"),"legalstart.fr")</f>
        <v>legalstart.fr</v>
      </c>
      <c r="C855" s="1" t="s">
        <v>8</v>
      </c>
      <c r="D855" s="1">
        <v>1.0</v>
      </c>
      <c r="E855" s="1" t="s">
        <v>51</v>
      </c>
      <c r="F855" s="1" t="s">
        <v>10</v>
      </c>
      <c r="G855" s="5" t="str">
        <f t="array" ref="G855">XLOOKUP(B855,LFinder!A:A,LFinder!B:B,"absent des plateformes")</f>
        <v>absent des plateformes</v>
      </c>
    </row>
    <row r="856">
      <c r="A856" s="3" t="s">
        <v>979</v>
      </c>
      <c r="B856" s="4" t="str">
        <f>IFERROR(__xludf.DUMMYFUNCTION("REGEXREPLACE(A856, ""^https?://(www\.)?|/.*"", """")"),"capitaine-banque.com")</f>
        <v>capitaine-banque.com</v>
      </c>
      <c r="C856" s="1" t="s">
        <v>50</v>
      </c>
      <c r="D856" s="1">
        <v>1.0</v>
      </c>
      <c r="E856" s="1" t="s">
        <v>51</v>
      </c>
      <c r="F856" s="1" t="s">
        <v>10</v>
      </c>
      <c r="G856" s="5" t="str">
        <f t="array" ref="G856">XLOOKUP(B856,LFinder!A:A,LFinder!B:B,"absent des plateformes")</f>
        <v>absent des plateformes</v>
      </c>
    </row>
    <row r="857">
      <c r="A857" s="3" t="s">
        <v>980</v>
      </c>
      <c r="B857" s="4" t="str">
        <f>IFERROR(__xludf.DUMMYFUNCTION("REGEXREPLACE(A857, ""^https?://(www\.)?|/.*"", """")"),"capitaine-banque.com")</f>
        <v>capitaine-banque.com</v>
      </c>
      <c r="C857" s="1" t="s">
        <v>50</v>
      </c>
      <c r="D857" s="1">
        <v>1.0</v>
      </c>
      <c r="E857" s="1" t="s">
        <v>51</v>
      </c>
      <c r="F857" s="1" t="s">
        <v>54</v>
      </c>
      <c r="G857" s="5" t="str">
        <f t="array" ref="G857">XLOOKUP(B857,LFinder!A:A,LFinder!B:B,"absent des plateformes")</f>
        <v>absent des plateformes</v>
      </c>
    </row>
    <row r="858">
      <c r="A858" s="3" t="s">
        <v>981</v>
      </c>
      <c r="B858" s="4" t="str">
        <f>IFERROR(__xludf.DUMMYFUNCTION("REGEXREPLACE(A858, ""^https?://(www\.)?|/.*"", """")"),"rh.jcausse.com")</f>
        <v>rh.jcausse.com</v>
      </c>
      <c r="C858" s="1" t="s">
        <v>8</v>
      </c>
      <c r="D858" s="1">
        <v>1.0</v>
      </c>
      <c r="E858" s="1" t="s">
        <v>31</v>
      </c>
      <c r="F858" s="1" t="s">
        <v>10</v>
      </c>
      <c r="G858" s="5" t="str">
        <f t="array" ref="G858">XLOOKUP(B858,LFinder!A:A,LFinder!B:B,"absent des plateformes")</f>
        <v>absent des plateformes</v>
      </c>
    </row>
    <row r="859">
      <c r="A859" s="3" t="s">
        <v>982</v>
      </c>
      <c r="B859" s="4" t="str">
        <f>IFERROR(__xludf.DUMMYFUNCTION("REGEXREPLACE(A859, ""^https?://(www\.)?|/.*"", """")"),"genpaie.fr")</f>
        <v>genpaie.fr</v>
      </c>
      <c r="C859" s="1" t="s">
        <v>8</v>
      </c>
      <c r="D859" s="1">
        <v>1.0</v>
      </c>
      <c r="E859" s="1" t="s">
        <v>31</v>
      </c>
      <c r="F859" s="1" t="s">
        <v>10</v>
      </c>
      <c r="G859" s="5" t="str">
        <f t="array" ref="G859">XLOOKUP(B859,LFinder!A:A,LFinder!B:B,"absent des plateformes")</f>
        <v>absent des plateformes</v>
      </c>
    </row>
    <row r="860">
      <c r="A860" s="3" t="s">
        <v>983</v>
      </c>
      <c r="B860" s="4" t="str">
        <f>IFERROR(__xludf.DUMMYFUNCTION("REGEXREPLACE(A860, ""^https?://(www\.)?|/.*"", """")"),"tplpaye.fr")</f>
        <v>tplpaye.fr</v>
      </c>
      <c r="C860" s="1" t="s">
        <v>8</v>
      </c>
      <c r="D860" s="1">
        <v>1.0</v>
      </c>
      <c r="E860" s="1" t="s">
        <v>45</v>
      </c>
      <c r="F860" s="1" t="s">
        <v>10</v>
      </c>
      <c r="G860" s="5" t="str">
        <f t="array" ref="G860">XLOOKUP(B860,LFinder!A:A,LFinder!B:B,"absent des plateformes")</f>
        <v>absent des plateformes</v>
      </c>
    </row>
    <row r="861">
      <c r="A861" s="3" t="s">
        <v>984</v>
      </c>
      <c r="B861" s="4" t="str">
        <f>IFERROR(__xludf.DUMMYFUNCTION("REGEXREPLACE(A861, ""^https?://(www\.)?|/.*"", """")"),"tplpaye.fr")</f>
        <v>tplpaye.fr</v>
      </c>
      <c r="C861" s="1" t="s">
        <v>8</v>
      </c>
      <c r="D861" s="1">
        <v>1.0</v>
      </c>
      <c r="E861" s="1" t="s">
        <v>31</v>
      </c>
      <c r="F861" s="1" t="s">
        <v>10</v>
      </c>
      <c r="G861" s="5" t="str">
        <f t="array" ref="G861">XLOOKUP(B861,LFinder!A:A,LFinder!B:B,"absent des plateformes")</f>
        <v>absent des plateformes</v>
      </c>
    </row>
    <row r="862">
      <c r="A862" s="3" t="s">
        <v>985</v>
      </c>
      <c r="B862" s="4" t="str">
        <f>IFERROR(__xludf.DUMMYFUNCTION("REGEXREPLACE(A862, ""^https?://(www\.)?|/.*"", """")"),"tplpaye.fr")</f>
        <v>tplpaye.fr</v>
      </c>
      <c r="C862" s="1" t="s">
        <v>8</v>
      </c>
      <c r="D862" s="1">
        <v>1.0</v>
      </c>
      <c r="E862" s="1" t="s">
        <v>31</v>
      </c>
      <c r="F862" s="1" t="s">
        <v>10</v>
      </c>
      <c r="G862" s="5" t="str">
        <f t="array" ref="G862">XLOOKUP(B862,LFinder!A:A,LFinder!B:B,"absent des plateformes")</f>
        <v>absent des plateformes</v>
      </c>
    </row>
    <row r="863">
      <c r="A863" s="3" t="s">
        <v>986</v>
      </c>
      <c r="B863" s="4" t="str">
        <f>IFERROR(__xludf.DUMMYFUNCTION("REGEXREPLACE(A863, ""^https?://(www\.)?|/.*"", """")"),"francenum.gouv.fr")</f>
        <v>francenum.gouv.fr</v>
      </c>
      <c r="C863" s="1" t="s">
        <v>8</v>
      </c>
      <c r="D863" s="1">
        <v>1.0</v>
      </c>
      <c r="E863" s="1" t="s">
        <v>325</v>
      </c>
      <c r="F863" s="1" t="s">
        <v>54</v>
      </c>
      <c r="G863" s="5" t="str">
        <f t="array" ref="G863">XLOOKUP(B863,LFinder!A:A,LFinder!B:B,"absent des plateformes")</f>
        <v>absent des plateformes</v>
      </c>
    </row>
    <row r="864">
      <c r="A864" s="3" t="s">
        <v>987</v>
      </c>
      <c r="B864" s="4" t="str">
        <f>IFERROR(__xludf.DUMMYFUNCTION("REGEXREPLACE(A864, ""^https?://(www\.)?|/.*"", """")"),"eduoutils.fr")</f>
        <v>eduoutils.fr</v>
      </c>
      <c r="C864" s="1" t="s">
        <v>8</v>
      </c>
      <c r="D864" s="1">
        <v>1.0</v>
      </c>
      <c r="E864" s="1" t="s">
        <v>36</v>
      </c>
      <c r="F864" s="1" t="s">
        <v>10</v>
      </c>
      <c r="G864" s="5" t="str">
        <f t="array" ref="G864">XLOOKUP(B864,LFinder!A:A,LFinder!B:B,"absent des plateformes")</f>
        <v>absent des plateformes</v>
      </c>
    </row>
    <row r="865">
      <c r="A865" s="3" t="s">
        <v>988</v>
      </c>
      <c r="B865" s="4" t="str">
        <f>IFERROR(__xludf.DUMMYFUNCTION("REGEXREPLACE(A865, ""^https?://(www\.)?|/.*"", """")"),"blog.tiime.fr")</f>
        <v>blog.tiime.fr</v>
      </c>
      <c r="C865" s="1" t="s">
        <v>50</v>
      </c>
      <c r="D865" s="1">
        <v>1.0</v>
      </c>
      <c r="E865" s="1" t="s">
        <v>66</v>
      </c>
      <c r="F865" s="1" t="s">
        <v>10</v>
      </c>
      <c r="G865" s="5" t="str">
        <f t="array" ref="G865">XLOOKUP(B865,LFinder!A:A,LFinder!B:B,"absent des plateformes")</f>
        <v>absent des plateformes</v>
      </c>
    </row>
    <row r="866">
      <c r="A866" s="3" t="s">
        <v>989</v>
      </c>
      <c r="B866" s="4" t="str">
        <f>IFERROR(__xludf.DUMMYFUNCTION("REGEXREPLACE(A866, ""^https?://(www\.)?|/.*"", """")"),"expert-comptable-tpe.fr")</f>
        <v>expert-comptable-tpe.fr</v>
      </c>
      <c r="C866" s="1" t="s">
        <v>8</v>
      </c>
      <c r="D866" s="1">
        <v>1.0</v>
      </c>
      <c r="E866" s="1" t="s">
        <v>31</v>
      </c>
      <c r="F866" s="1" t="s">
        <v>10</v>
      </c>
      <c r="G866" s="5" t="str">
        <f t="array" ref="G866">XLOOKUP(B866,LFinder!A:A,LFinder!B:B,"absent des plateformes")</f>
        <v>absent des plateformes</v>
      </c>
    </row>
    <row r="867">
      <c r="A867" s="3" t="s">
        <v>990</v>
      </c>
      <c r="B867" s="4" t="str">
        <f>IFERROR(__xludf.DUMMYFUNCTION("REGEXREPLACE(A867, ""^https?://(www\.)?|/.*"", """")"),"expert-comptable-tpe.fr")</f>
        <v>expert-comptable-tpe.fr</v>
      </c>
      <c r="C867" s="1" t="s">
        <v>8</v>
      </c>
      <c r="D867" s="1">
        <v>1.0</v>
      </c>
      <c r="E867" s="1" t="s">
        <v>325</v>
      </c>
      <c r="F867" s="1" t="s">
        <v>10</v>
      </c>
      <c r="G867" s="5" t="str">
        <f t="array" ref="G867">XLOOKUP(B867,LFinder!A:A,LFinder!B:B,"absent des plateformes")</f>
        <v>absent des plateformes</v>
      </c>
    </row>
    <row r="868">
      <c r="A868" s="3" t="s">
        <v>991</v>
      </c>
      <c r="B868" s="4" t="str">
        <f>IFERROR(__xludf.DUMMYFUNCTION("REGEXREPLACE(A868, ""^https?://(www\.)?|/.*"", """")"),"expert-comptable-tpe.fr")</f>
        <v>expert-comptable-tpe.fr</v>
      </c>
      <c r="C868" s="1" t="s">
        <v>8</v>
      </c>
      <c r="D868" s="1">
        <v>1.0</v>
      </c>
      <c r="E868" s="1" t="s">
        <v>36</v>
      </c>
      <c r="F868" s="1" t="s">
        <v>10</v>
      </c>
      <c r="G868" s="5" t="str">
        <f t="array" ref="G868">XLOOKUP(B868,LFinder!A:A,LFinder!B:B,"absent des plateformes")</f>
        <v>absent des plateformes</v>
      </c>
    </row>
    <row r="869">
      <c r="A869" s="3" t="s">
        <v>992</v>
      </c>
      <c r="B869" s="4" t="str">
        <f>IFERROR(__xludf.DUMMYFUNCTION("REGEXREPLACE(A869, ""^https?://(www\.)?|/.*"", """")"),"expert-comptable-tpe.fr")</f>
        <v>expert-comptable-tpe.fr</v>
      </c>
      <c r="C869" s="1" t="s">
        <v>8</v>
      </c>
      <c r="D869" s="1">
        <v>1.0</v>
      </c>
      <c r="E869" s="1" t="s">
        <v>323</v>
      </c>
      <c r="F869" s="1" t="s">
        <v>10</v>
      </c>
      <c r="G869" s="5" t="str">
        <f t="array" ref="G869">XLOOKUP(B869,LFinder!A:A,LFinder!B:B,"absent des plateformes")</f>
        <v>absent des plateformes</v>
      </c>
    </row>
    <row r="870">
      <c r="A870" s="3" t="s">
        <v>993</v>
      </c>
      <c r="B870" s="4" t="str">
        <f>IFERROR(__xludf.DUMMYFUNCTION("REGEXREPLACE(A870, ""^https?://(www\.)?|/.*"", """")"),"expert-comptable-tpe.fr")</f>
        <v>expert-comptable-tpe.fr</v>
      </c>
      <c r="C870" s="1" t="s">
        <v>8</v>
      </c>
      <c r="D870" s="1">
        <v>1.0</v>
      </c>
      <c r="E870" s="1" t="s">
        <v>323</v>
      </c>
      <c r="F870" s="1" t="s">
        <v>10</v>
      </c>
      <c r="G870" s="5" t="str">
        <f t="array" ref="G870">XLOOKUP(B870,LFinder!A:A,LFinder!B:B,"absent des plateformes")</f>
        <v>absent des plateformes</v>
      </c>
    </row>
    <row r="871">
      <c r="A871" s="3" t="s">
        <v>994</v>
      </c>
      <c r="B871" s="4" t="str">
        <f>IFERROR(__xludf.DUMMYFUNCTION("REGEXREPLACE(A871, ""^https?://(www\.)?|/.*"", """")"),"fiducial.fr")</f>
        <v>fiducial.fr</v>
      </c>
      <c r="C871" s="1" t="s">
        <v>8</v>
      </c>
      <c r="D871" s="1">
        <v>1.0</v>
      </c>
      <c r="E871" s="1" t="s">
        <v>98</v>
      </c>
      <c r="F871" s="1" t="s">
        <v>54</v>
      </c>
      <c r="G871" s="5" t="str">
        <f t="array" ref="G871">XLOOKUP(B871,LFinder!A:A,LFinder!B:B,"absent des plateformes")</f>
        <v>absent des plateformes</v>
      </c>
    </row>
    <row r="872">
      <c r="A872" s="3" t="s">
        <v>995</v>
      </c>
      <c r="B872" s="4" t="str">
        <f>IFERROR(__xludf.DUMMYFUNCTION("REGEXREPLACE(A872, ""^https?://(www\.)?|/.*"", """")"),"tgs-france.fr")</f>
        <v>tgs-france.fr</v>
      </c>
      <c r="C872" s="1" t="s">
        <v>8</v>
      </c>
      <c r="D872" s="1">
        <v>1.0</v>
      </c>
      <c r="E872" s="1" t="s">
        <v>426</v>
      </c>
      <c r="F872" s="1" t="s">
        <v>10</v>
      </c>
      <c r="G872" s="5" t="str">
        <f t="array" ref="G872">XLOOKUP(B872,LFinder!A:A,LFinder!B:B,"absent des plateformes")</f>
        <v>absent des plateformes</v>
      </c>
    </row>
    <row r="873">
      <c r="A873" s="3" t="s">
        <v>996</v>
      </c>
      <c r="B873" s="4" t="str">
        <f>IFERROR(__xludf.DUMMYFUNCTION("REGEXREPLACE(A873, ""^https?://(www\.)?|/.*"", """")"),"tgs-france.fr")</f>
        <v>tgs-france.fr</v>
      </c>
      <c r="C873" s="1" t="s">
        <v>8</v>
      </c>
      <c r="D873" s="1">
        <v>1.0</v>
      </c>
      <c r="E873" s="1" t="s">
        <v>200</v>
      </c>
      <c r="F873" s="1" t="s">
        <v>10</v>
      </c>
      <c r="G873" s="5" t="str">
        <f t="array" ref="G873">XLOOKUP(B873,LFinder!A:A,LFinder!B:B,"absent des plateformes")</f>
        <v>absent des plateformes</v>
      </c>
    </row>
    <row r="874">
      <c r="A874" s="3" t="s">
        <v>997</v>
      </c>
      <c r="B874" s="4" t="str">
        <f>IFERROR(__xludf.DUMMYFUNCTION("REGEXREPLACE(A874, ""^https?://(www\.)?|/.*"", """")"),"tgs-france.fr")</f>
        <v>tgs-france.fr</v>
      </c>
      <c r="C874" s="1" t="s">
        <v>8</v>
      </c>
      <c r="D874" s="1">
        <v>1.0</v>
      </c>
      <c r="E874" s="1" t="s">
        <v>43</v>
      </c>
      <c r="F874" s="1" t="s">
        <v>10</v>
      </c>
      <c r="G874" s="5" t="str">
        <f t="array" ref="G874">XLOOKUP(B874,LFinder!A:A,LFinder!B:B,"absent des plateformes")</f>
        <v>absent des plateformes</v>
      </c>
    </row>
    <row r="875">
      <c r="A875" s="3" t="s">
        <v>998</v>
      </c>
      <c r="B875" s="4" t="str">
        <f>IFERROR(__xludf.DUMMYFUNCTION("REGEXREPLACE(A875, ""^https?://(www\.)?|/.*"", """")"),"tgs-france.fr")</f>
        <v>tgs-france.fr</v>
      </c>
      <c r="C875" s="1" t="s">
        <v>8</v>
      </c>
      <c r="D875" s="1">
        <v>1.0</v>
      </c>
      <c r="E875" s="1" t="s">
        <v>43</v>
      </c>
      <c r="F875" s="1" t="s">
        <v>10</v>
      </c>
      <c r="G875" s="5" t="str">
        <f t="array" ref="G875">XLOOKUP(B875,LFinder!A:A,LFinder!B:B,"absent des plateformes")</f>
        <v>absent des plateformes</v>
      </c>
    </row>
    <row r="876">
      <c r="A876" s="3" t="s">
        <v>999</v>
      </c>
      <c r="B876" s="4" t="str">
        <f>IFERROR(__xludf.DUMMYFUNCTION("REGEXREPLACE(A876, ""^https?://(www\.)?|/.*"", """")"),"propulsebyca.fr")</f>
        <v>propulsebyca.fr</v>
      </c>
      <c r="C876" s="1" t="s">
        <v>8</v>
      </c>
      <c r="D876" s="1">
        <v>1.0</v>
      </c>
      <c r="E876" s="1" t="s">
        <v>14</v>
      </c>
      <c r="F876" s="1" t="s">
        <v>54</v>
      </c>
      <c r="G876" s="5" t="str">
        <f t="array" ref="G876">XLOOKUP(B876,LFinder!A:A,LFinder!B:B,"absent des plateformes")</f>
        <v>absent des plateformes</v>
      </c>
    </row>
    <row r="877">
      <c r="A877" s="3" t="s">
        <v>1000</v>
      </c>
      <c r="B877" s="4" t="str">
        <f>IFERROR(__xludf.DUMMYFUNCTION("REGEXREPLACE(A877, ""^https?://(www\.)?|/.*"", """")"),"portail-autoentrepreneur.fr")</f>
        <v>portail-autoentrepreneur.fr</v>
      </c>
      <c r="C877" s="1" t="s">
        <v>8</v>
      </c>
      <c r="D877" s="1">
        <v>1.0</v>
      </c>
      <c r="E877" s="1" t="s">
        <v>98</v>
      </c>
      <c r="F877" s="1" t="s">
        <v>10</v>
      </c>
      <c r="G877" s="5" t="str">
        <f t="array" ref="G877">XLOOKUP(B877,LFinder!A:A,LFinder!B:B,"absent des plateformes")</f>
        <v>absent des plateformes</v>
      </c>
    </row>
    <row r="878">
      <c r="A878" s="3" t="s">
        <v>1001</v>
      </c>
      <c r="B878" s="4" t="str">
        <f>IFERROR(__xludf.DUMMYFUNCTION("REGEXREPLACE(A878, ""^https?://(www\.)?|/.*"", """")"),"portail-autoentrepreneur.fr")</f>
        <v>portail-autoentrepreneur.fr</v>
      </c>
      <c r="C878" s="1" t="s">
        <v>8</v>
      </c>
      <c r="D878" s="1">
        <v>1.0</v>
      </c>
      <c r="E878" s="1" t="s">
        <v>14</v>
      </c>
      <c r="F878" s="1" t="s">
        <v>10</v>
      </c>
      <c r="G878" s="5" t="str">
        <f t="array" ref="G878">XLOOKUP(B878,LFinder!A:A,LFinder!B:B,"absent des plateformes")</f>
        <v>absent des plateformes</v>
      </c>
    </row>
    <row r="879">
      <c r="A879" s="3" t="s">
        <v>1002</v>
      </c>
      <c r="B879" s="4" t="str">
        <f>IFERROR(__xludf.DUMMYFUNCTION("REGEXREPLACE(A879, ""^https?://(www\.)?|/.*"", """")"),"microcitron.fr")</f>
        <v>microcitron.fr</v>
      </c>
      <c r="C879" s="1" t="s">
        <v>8</v>
      </c>
      <c r="D879" s="1">
        <v>1.0</v>
      </c>
      <c r="E879" s="1" t="s">
        <v>14</v>
      </c>
      <c r="F879" s="1" t="s">
        <v>10</v>
      </c>
      <c r="G879" s="5" t="str">
        <f t="array" ref="G879">XLOOKUP(B879,LFinder!A:A,LFinder!B:B,"absent des plateformes")</f>
        <v>absent des plateformes</v>
      </c>
    </row>
    <row r="880">
      <c r="A880" s="3" t="s">
        <v>1003</v>
      </c>
      <c r="B880" s="4" t="str">
        <f>IFERROR(__xludf.DUMMYFUNCTION("REGEXREPLACE(A880, ""^https?://(www\.)?|/.*"", """")"),"coover.fr")</f>
        <v>coover.fr</v>
      </c>
      <c r="C880" s="1" t="s">
        <v>8</v>
      </c>
      <c r="D880" s="1">
        <v>1.0</v>
      </c>
      <c r="E880" s="1" t="s">
        <v>47</v>
      </c>
      <c r="F880" s="1" t="s">
        <v>10</v>
      </c>
      <c r="G880" s="5" t="str">
        <f t="array" ref="G880">XLOOKUP(B880,LFinder!A:A,LFinder!B:B,"absent des plateformes")</f>
        <v>absent des plateformes</v>
      </c>
    </row>
    <row r="881">
      <c r="A881" s="3" t="s">
        <v>1004</v>
      </c>
      <c r="B881" s="4" t="str">
        <f>IFERROR(__xludf.DUMMYFUNCTION("REGEXREPLACE(A881, ""^https?://(www\.)?|/.*"", """")"),"coover.fr")</f>
        <v>coover.fr</v>
      </c>
      <c r="C881" s="1" t="s">
        <v>8</v>
      </c>
      <c r="D881" s="1">
        <v>1.0</v>
      </c>
      <c r="E881" s="1" t="s">
        <v>51</v>
      </c>
      <c r="F881" s="1" t="s">
        <v>10</v>
      </c>
      <c r="G881" s="5" t="str">
        <f t="array" ref="G881">XLOOKUP(B881,LFinder!A:A,LFinder!B:B,"absent des plateformes")</f>
        <v>absent des plateformes</v>
      </c>
    </row>
    <row r="882">
      <c r="A882" s="3" t="s">
        <v>1005</v>
      </c>
      <c r="B882" s="4" t="str">
        <f>IFERROR(__xludf.DUMMYFUNCTION("REGEXREPLACE(A882, ""^https?://(www\.)?|/.*"", """")"),"keobiz.fr")</f>
        <v>keobiz.fr</v>
      </c>
      <c r="C882" s="1" t="s">
        <v>8</v>
      </c>
      <c r="D882" s="1">
        <v>1.0</v>
      </c>
      <c r="E882" s="1" t="s">
        <v>736</v>
      </c>
      <c r="F882" s="1" t="s">
        <v>10</v>
      </c>
      <c r="G882" s="5" t="str">
        <f t="array" ref="G882">XLOOKUP(B882,LFinder!A:A,LFinder!B:B,"absent des plateformes")</f>
        <v>absent des plateformes</v>
      </c>
    </row>
    <row r="883">
      <c r="A883" s="3" t="s">
        <v>1006</v>
      </c>
      <c r="B883" s="4" t="str">
        <f>IFERROR(__xludf.DUMMYFUNCTION("REGEXREPLACE(A883, ""^https?://(www\.)?|/.*"", """")"),"keobiz.fr")</f>
        <v>keobiz.fr</v>
      </c>
      <c r="C883" s="1" t="s">
        <v>8</v>
      </c>
      <c r="D883" s="1">
        <v>1.0</v>
      </c>
      <c r="E883" s="1" t="s">
        <v>36</v>
      </c>
      <c r="F883" s="1" t="s">
        <v>10</v>
      </c>
      <c r="G883" s="5" t="str">
        <f t="array" ref="G883">XLOOKUP(B883,LFinder!A:A,LFinder!B:B,"absent des plateformes")</f>
        <v>absent des plateformes</v>
      </c>
    </row>
    <row r="884">
      <c r="A884" s="3" t="s">
        <v>1007</v>
      </c>
      <c r="B884" s="4" t="str">
        <f>IFERROR(__xludf.DUMMYFUNCTION("REGEXREPLACE(A884, ""^https?://(www\.)?|/.*"", """")"),"dougs.fr")</f>
        <v>dougs.fr</v>
      </c>
      <c r="C884" s="1" t="s">
        <v>8</v>
      </c>
      <c r="D884" s="1">
        <v>1.0</v>
      </c>
      <c r="E884" s="1" t="s">
        <v>14</v>
      </c>
      <c r="F884" s="1" t="s">
        <v>10</v>
      </c>
      <c r="G884" s="5" t="str">
        <f t="array" ref="G884">XLOOKUP(B884,LFinder!A:A,LFinder!B:B,"absent des plateformes")</f>
        <v>absent des plateformes</v>
      </c>
    </row>
    <row r="885">
      <c r="A885" s="3" t="s">
        <v>1008</v>
      </c>
      <c r="B885" s="4" t="str">
        <f>IFERROR(__xludf.DUMMYFUNCTION("REGEXREPLACE(A885, ""^https?://(www\.)?|/.*"", """")"),"dougs.fr")</f>
        <v>dougs.fr</v>
      </c>
      <c r="C885" s="1" t="s">
        <v>8</v>
      </c>
      <c r="D885" s="1">
        <v>1.0</v>
      </c>
      <c r="E885" s="1" t="s">
        <v>43</v>
      </c>
      <c r="F885" s="1" t="s">
        <v>10</v>
      </c>
      <c r="G885" s="5" t="str">
        <f t="array" ref="G885">XLOOKUP(B885,LFinder!A:A,LFinder!B:B,"absent des plateformes")</f>
        <v>absent des plateformes</v>
      </c>
    </row>
    <row r="886">
      <c r="A886" s="3" t="s">
        <v>1009</v>
      </c>
      <c r="B886" s="4" t="str">
        <f>IFERROR(__xludf.DUMMYFUNCTION("REGEXREPLACE(A886, ""^https?://(www\.)?|/.*"", """")"),"dougs.fr")</f>
        <v>dougs.fr</v>
      </c>
      <c r="C886" s="1" t="s">
        <v>8</v>
      </c>
      <c r="D886" s="1">
        <v>1.0</v>
      </c>
      <c r="E886" s="1" t="s">
        <v>36</v>
      </c>
      <c r="F886" s="1" t="s">
        <v>10</v>
      </c>
      <c r="G886" s="5" t="str">
        <f t="array" ref="G886">XLOOKUP(B886,LFinder!A:A,LFinder!B:B,"absent des plateformes")</f>
        <v>absent des plateformes</v>
      </c>
    </row>
    <row r="887">
      <c r="A887" s="3" t="s">
        <v>1010</v>
      </c>
      <c r="B887" s="4" t="str">
        <f>IFERROR(__xludf.DUMMYFUNCTION("REGEXREPLACE(A887, ""^https?://(www\.)?|/.*"", """")"),"dougs.fr")</f>
        <v>dougs.fr</v>
      </c>
      <c r="C887" s="1" t="s">
        <v>8</v>
      </c>
      <c r="D887" s="1">
        <v>1.0</v>
      </c>
      <c r="E887" s="1" t="s">
        <v>36</v>
      </c>
      <c r="F887" s="1" t="s">
        <v>10</v>
      </c>
      <c r="G887" s="5" t="str">
        <f t="array" ref="G887">XLOOKUP(B887,LFinder!A:A,LFinder!B:B,"absent des plateformes")</f>
        <v>absent des plateformes</v>
      </c>
    </row>
    <row r="888">
      <c r="A888" s="3" t="s">
        <v>1011</v>
      </c>
      <c r="B888" s="4" t="str">
        <f>IFERROR(__xludf.DUMMYFUNCTION("REGEXREPLACE(A888, ""^https?://(www\.)?|/.*"", """")"),"servicetel.fr")</f>
        <v>servicetel.fr</v>
      </c>
      <c r="C888" s="1" t="s">
        <v>8</v>
      </c>
      <c r="D888" s="1">
        <v>1.0</v>
      </c>
      <c r="E888" s="1" t="s">
        <v>66</v>
      </c>
      <c r="F888" s="1" t="s">
        <v>10</v>
      </c>
      <c r="G888" s="5" t="str">
        <f t="array" ref="G888">XLOOKUP(B888,LFinder!A:A,LFinder!B:B,"absent des plateformes")</f>
        <v>absent des plateformes</v>
      </c>
    </row>
    <row r="889">
      <c r="A889" s="3" t="s">
        <v>1012</v>
      </c>
      <c r="B889" s="4" t="str">
        <f>IFERROR(__xludf.DUMMYFUNCTION("REGEXREPLACE(A889, ""^https?://(www\.)?|/.*"", """")"),"pennylane.com")</f>
        <v>pennylane.com</v>
      </c>
      <c r="C889" s="1" t="s">
        <v>8</v>
      </c>
      <c r="D889" s="1">
        <v>1.0</v>
      </c>
      <c r="E889" s="1" t="s">
        <v>98</v>
      </c>
      <c r="F889" s="1" t="s">
        <v>10</v>
      </c>
      <c r="G889" s="5" t="str">
        <f t="array" ref="G889">XLOOKUP(B889,LFinder!A:A,LFinder!B:B,"absent des plateformes")</f>
        <v>absent des plateformes</v>
      </c>
    </row>
    <row r="890">
      <c r="A890" s="3" t="s">
        <v>1013</v>
      </c>
      <c r="B890" s="4" t="str">
        <f>IFERROR(__xludf.DUMMYFUNCTION("REGEXREPLACE(A890, ""^https?://(www\.)?|/.*"", """")"),"pennylane.com")</f>
        <v>pennylane.com</v>
      </c>
      <c r="C890" s="1" t="s">
        <v>8</v>
      </c>
      <c r="D890" s="1">
        <v>1.0</v>
      </c>
      <c r="E890" s="1" t="s">
        <v>51</v>
      </c>
      <c r="F890" s="1" t="s">
        <v>10</v>
      </c>
      <c r="G890" s="5" t="str">
        <f t="array" ref="G890">XLOOKUP(B890,LFinder!A:A,LFinder!B:B,"absent des plateformes")</f>
        <v>absent des plateformes</v>
      </c>
    </row>
    <row r="891">
      <c r="A891" s="3" t="s">
        <v>1014</v>
      </c>
      <c r="B891" s="4" t="str">
        <f>IFERROR(__xludf.DUMMYFUNCTION("REGEXREPLACE(A891, ""^https?://(www\.)?|/.*"", """")"),"fiduciaire-yadan.fr")</f>
        <v>fiduciaire-yadan.fr</v>
      </c>
      <c r="C891" s="1" t="s">
        <v>8</v>
      </c>
      <c r="D891" s="1">
        <v>1.0</v>
      </c>
      <c r="E891" s="1" t="s">
        <v>66</v>
      </c>
      <c r="F891" s="1" t="s">
        <v>10</v>
      </c>
      <c r="G891" s="5" t="str">
        <f t="array" ref="G891">XLOOKUP(B891,LFinder!A:A,LFinder!B:B,"absent des plateformes")</f>
        <v>absent des plateformes</v>
      </c>
    </row>
    <row r="892">
      <c r="A892" s="3" t="s">
        <v>1015</v>
      </c>
      <c r="B892" s="4" t="str">
        <f>IFERROR(__xludf.DUMMYFUNCTION("REGEXREPLACE(A892, ""^https?://(www\.)?|/.*"", """")"),"tradeshift.com")</f>
        <v>tradeshift.com</v>
      </c>
      <c r="C892" s="1" t="s">
        <v>8</v>
      </c>
      <c r="D892" s="1">
        <v>1.0</v>
      </c>
      <c r="E892" s="1" t="s">
        <v>66</v>
      </c>
      <c r="F892" s="1" t="s">
        <v>10</v>
      </c>
      <c r="G892" s="5" t="str">
        <f t="array" ref="G892">XLOOKUP(B892,LFinder!A:A,LFinder!B:B,"absent des plateformes")</f>
        <v>absent des plateformes</v>
      </c>
    </row>
    <row r="893">
      <c r="A893" s="3" t="s">
        <v>1016</v>
      </c>
      <c r="B893" s="4" t="str">
        <f>IFERROR(__xludf.DUMMYFUNCTION("REGEXREPLACE(A893, ""^https?://(www\.)?|/.*"", """")"),"independant.io")</f>
        <v>independant.io</v>
      </c>
      <c r="C893" s="1" t="s">
        <v>8</v>
      </c>
      <c r="D893" s="1">
        <v>1.0</v>
      </c>
      <c r="E893" s="1" t="s">
        <v>91</v>
      </c>
      <c r="F893" s="1" t="s">
        <v>10</v>
      </c>
      <c r="G893" s="5" t="str">
        <f t="array" ref="G893">XLOOKUP(B893,LFinder!A:A,LFinder!B:B,"absent des plateformes")</f>
        <v>absent des plateformes</v>
      </c>
    </row>
    <row r="894">
      <c r="A894" s="3" t="s">
        <v>1017</v>
      </c>
      <c r="B894" s="4" t="str">
        <f>IFERROR(__xludf.DUMMYFUNCTION("REGEXREPLACE(A894, ""^https?://(www\.)?|/.*"", """")"),"independant.io")</f>
        <v>independant.io</v>
      </c>
      <c r="C894" s="1" t="s">
        <v>8</v>
      </c>
      <c r="D894" s="1">
        <v>1.0</v>
      </c>
      <c r="E894" s="1" t="s">
        <v>36</v>
      </c>
      <c r="F894" s="1" t="s">
        <v>10</v>
      </c>
      <c r="G894" s="5" t="str">
        <f t="array" ref="G894">XLOOKUP(B894,LFinder!A:A,LFinder!B:B,"absent des plateformes")</f>
        <v>absent des plateformes</v>
      </c>
    </row>
    <row r="895">
      <c r="A895" s="3" t="s">
        <v>1018</v>
      </c>
      <c r="B895" s="4" t="str">
        <f>IFERROR(__xludf.DUMMYFUNCTION("REGEXREPLACE(A895, ""^https?://(www\.)?|/.*"", """")"),"independant.io")</f>
        <v>independant.io</v>
      </c>
      <c r="C895" s="1" t="s">
        <v>50</v>
      </c>
      <c r="D895" s="1">
        <v>1.0</v>
      </c>
      <c r="E895" s="1" t="s">
        <v>51</v>
      </c>
      <c r="F895" s="1" t="s">
        <v>10</v>
      </c>
      <c r="G895" s="5" t="str">
        <f t="array" ref="G895">XLOOKUP(B895,LFinder!A:A,LFinder!B:B,"absent des plateformes")</f>
        <v>absent des plateformes</v>
      </c>
    </row>
    <row r="896">
      <c r="A896" s="3" t="s">
        <v>1019</v>
      </c>
      <c r="B896" s="4" t="str">
        <f>IFERROR(__xludf.DUMMYFUNCTION("REGEXREPLACE(A896, ""^https?://(www\.)?|/.*"", """")"),"independant.io")</f>
        <v>independant.io</v>
      </c>
      <c r="C896" s="1" t="s">
        <v>8</v>
      </c>
      <c r="D896" s="1">
        <v>1.0</v>
      </c>
      <c r="E896" s="1" t="s">
        <v>174</v>
      </c>
      <c r="F896" s="1" t="s">
        <v>54</v>
      </c>
      <c r="G896" s="5" t="str">
        <f t="array" ref="G896">XLOOKUP(B896,LFinder!A:A,LFinder!B:B,"absent des plateformes")</f>
        <v>absent des plateformes</v>
      </c>
    </row>
    <row r="897">
      <c r="A897" s="3" t="s">
        <v>1020</v>
      </c>
      <c r="B897" s="4" t="str">
        <f>IFERROR(__xludf.DUMMYFUNCTION("REGEXREPLACE(A897, ""^https?://(www\.)?|/.*"", """")"),"independant.io")</f>
        <v>independant.io</v>
      </c>
      <c r="C897" s="1" t="s">
        <v>8</v>
      </c>
      <c r="D897" s="1">
        <v>1.0</v>
      </c>
      <c r="E897" s="1" t="s">
        <v>12</v>
      </c>
      <c r="F897" s="1" t="s">
        <v>10</v>
      </c>
      <c r="G897" s="5" t="str">
        <f t="array" ref="G897">XLOOKUP(B897,LFinder!A:A,LFinder!B:B,"absent des plateformes")</f>
        <v>absent des plateformes</v>
      </c>
    </row>
    <row r="898">
      <c r="A898" s="3" t="s">
        <v>1021</v>
      </c>
      <c r="B898" s="4" t="str">
        <f>IFERROR(__xludf.DUMMYFUNCTION("REGEXREPLACE(A898, ""^https?://(www\.)?|/.*"", """")"),"carsat-am.fr")</f>
        <v>carsat-am.fr</v>
      </c>
      <c r="C898" s="1" t="s">
        <v>8</v>
      </c>
      <c r="D898" s="1">
        <v>1.0</v>
      </c>
      <c r="E898" s="1" t="s">
        <v>507</v>
      </c>
      <c r="F898" s="1" t="s">
        <v>10</v>
      </c>
      <c r="G898" s="5" t="str">
        <f t="array" ref="G898">XLOOKUP(B898,LFinder!A:A,LFinder!B:B,"absent des plateformes")</f>
        <v>absent des plateformes</v>
      </c>
    </row>
    <row r="899">
      <c r="A899" s="3" t="s">
        <v>1022</v>
      </c>
      <c r="B899" s="4" t="str">
        <f>IFERROR(__xludf.DUMMYFUNCTION("REGEXREPLACE(A899, ""^https?://(www\.)?|/.*"", """")"),"carsat-lr.fr")</f>
        <v>carsat-lr.fr</v>
      </c>
      <c r="C899" s="1" t="s">
        <v>8</v>
      </c>
      <c r="D899" s="1">
        <v>1.0</v>
      </c>
      <c r="E899" s="1" t="s">
        <v>507</v>
      </c>
      <c r="F899" s="1" t="s">
        <v>10</v>
      </c>
      <c r="G899" s="5" t="str">
        <f t="array" ref="G899">XLOOKUP(B899,LFinder!A:A,LFinder!B:B,"absent des plateformes")</f>
        <v>absent des plateformes</v>
      </c>
    </row>
    <row r="900">
      <c r="A900" s="3" t="s">
        <v>1023</v>
      </c>
      <c r="B900" s="4" t="str">
        <f>IFERROR(__xludf.DUMMYFUNCTION("REGEXREPLACE(A900, ""^https?://(www\.)?|/.*"", """")"),"defiretraite.fr")</f>
        <v>defiretraite.fr</v>
      </c>
      <c r="C900" s="1" t="s">
        <v>8</v>
      </c>
      <c r="D900" s="1">
        <v>1.0</v>
      </c>
      <c r="E900" s="1" t="s">
        <v>507</v>
      </c>
      <c r="F900" s="1" t="s">
        <v>10</v>
      </c>
      <c r="G900" s="5" t="str">
        <f t="array" ref="G900">XLOOKUP(B900,LFinder!A:A,LFinder!B:B,"absent des plateformes")</f>
        <v>absent des plateformes</v>
      </c>
    </row>
    <row r="901">
      <c r="A901" s="3" t="s">
        <v>1024</v>
      </c>
      <c r="B901" s="4" t="str">
        <f>IFERROR(__xludf.DUMMYFUNCTION("REGEXREPLACE(A901, ""^https?://(www\.)?|/.*"", """")"),"cgss.re")</f>
        <v>cgss.re</v>
      </c>
      <c r="C901" s="1" t="s">
        <v>8</v>
      </c>
      <c r="D901" s="1">
        <v>1.0</v>
      </c>
      <c r="E901" s="1" t="s">
        <v>507</v>
      </c>
      <c r="F901" s="1" t="s">
        <v>10</v>
      </c>
      <c r="G901" s="5" t="str">
        <f t="array" ref="G901">XLOOKUP(B901,LFinder!A:A,LFinder!B:B,"absent des plateformes")</f>
        <v>absent des plateformes</v>
      </c>
    </row>
    <row r="902">
      <c r="A902" s="3" t="s">
        <v>1025</v>
      </c>
      <c r="B902" s="4" t="str">
        <f>IFERROR(__xludf.DUMMYFUNCTION("REGEXREPLACE(A902, ""^https?://(www\.)?|/.*"", """")"),"retraite-info.fr")</f>
        <v>retraite-info.fr</v>
      </c>
      <c r="C902" s="1" t="s">
        <v>8</v>
      </c>
      <c r="D902" s="1">
        <v>1.0</v>
      </c>
      <c r="E902" s="1" t="s">
        <v>507</v>
      </c>
      <c r="F902" s="1" t="s">
        <v>10</v>
      </c>
      <c r="G902" s="5" t="str">
        <f t="array" ref="G902">XLOOKUP(B902,LFinder!A:A,LFinder!B:B,"absent des plateformes")</f>
        <v>absent des plateformes</v>
      </c>
    </row>
    <row r="903">
      <c r="A903" s="3" t="s">
        <v>1026</v>
      </c>
      <c r="B903" s="4" t="str">
        <f>IFERROR(__xludf.DUMMYFUNCTION("REGEXREPLACE(A903, ""^https?://(www\.)?|/.*"", """")"),"lassuranceretraite.fr")</f>
        <v>lassuranceretraite.fr</v>
      </c>
      <c r="C903" s="1" t="s">
        <v>8</v>
      </c>
      <c r="D903" s="1">
        <v>1.0</v>
      </c>
      <c r="E903" s="1" t="s">
        <v>507</v>
      </c>
      <c r="F903" s="1" t="s">
        <v>10</v>
      </c>
      <c r="G903" s="5" t="str">
        <f t="array" ref="G903">XLOOKUP(B903,LFinder!A:A,LFinder!B:B,"absent des plateformes")</f>
        <v>absent des plateformes</v>
      </c>
    </row>
    <row r="904">
      <c r="A904" s="3" t="s">
        <v>1027</v>
      </c>
      <c r="B904" s="4" t="str">
        <f>IFERROR(__xludf.DUMMYFUNCTION("REGEXREPLACE(A904, ""^https?://(www\.)?|/.*"", """")"),"lassuranceretraite.fr")</f>
        <v>lassuranceretraite.fr</v>
      </c>
      <c r="C904" s="1" t="s">
        <v>8</v>
      </c>
      <c r="D904" s="1">
        <v>1.0</v>
      </c>
      <c r="E904" s="1" t="s">
        <v>507</v>
      </c>
      <c r="F904" s="1" t="s">
        <v>10</v>
      </c>
      <c r="G904" s="5" t="str">
        <f t="array" ref="G904">XLOOKUP(B904,LFinder!A:A,LFinder!B:B,"absent des plateformes")</f>
        <v>absent des plateformes</v>
      </c>
    </row>
    <row r="905">
      <c r="A905" s="3" t="s">
        <v>1028</v>
      </c>
      <c r="B905" s="4" t="str">
        <f>IFERROR(__xludf.DUMMYFUNCTION("REGEXREPLACE(A905, ""^https?://(www\.)?|/.*"", """")"),"lassuranceretraite.fr")</f>
        <v>lassuranceretraite.fr</v>
      </c>
      <c r="C905" s="1" t="s">
        <v>8</v>
      </c>
      <c r="D905" s="1">
        <v>1.0</v>
      </c>
      <c r="E905" s="1" t="s">
        <v>507</v>
      </c>
      <c r="F905" s="1" t="s">
        <v>10</v>
      </c>
      <c r="G905" s="5" t="str">
        <f t="array" ref="G905">XLOOKUP(B905,LFinder!A:A,LFinder!B:B,"absent des plateformes")</f>
        <v>absent des plateformes</v>
      </c>
    </row>
    <row r="906">
      <c r="A906" s="3" t="s">
        <v>1029</v>
      </c>
      <c r="B906" s="4" t="str">
        <f>IFERROR(__xludf.DUMMYFUNCTION("REGEXREPLACE(A906, ""^https?://(www\.)?|/.*"", """")"),"carsat-pl.fr")</f>
        <v>carsat-pl.fr</v>
      </c>
      <c r="C906" s="1" t="s">
        <v>8</v>
      </c>
      <c r="D906" s="1">
        <v>1.0</v>
      </c>
      <c r="E906" s="1" t="s">
        <v>61</v>
      </c>
      <c r="F906" s="1" t="s">
        <v>10</v>
      </c>
      <c r="G906" s="5" t="str">
        <f t="array" ref="G906">XLOOKUP(B906,LFinder!A:A,LFinder!B:B,"absent des plateformes")</f>
        <v>absent des plateformes</v>
      </c>
    </row>
    <row r="907">
      <c r="A907" s="3" t="s">
        <v>1030</v>
      </c>
      <c r="B907" s="4" t="str">
        <f>IFERROR(__xludf.DUMMYFUNCTION("REGEXREPLACE(A907, ""^https?://(www\.)?|/.*"", """")"),"carsat-pl.fr")</f>
        <v>carsat-pl.fr</v>
      </c>
      <c r="C907" s="1" t="s">
        <v>8</v>
      </c>
      <c r="D907" s="1">
        <v>1.0</v>
      </c>
      <c r="E907" s="1" t="s">
        <v>61</v>
      </c>
      <c r="F907" s="1" t="s">
        <v>10</v>
      </c>
      <c r="G907" s="5" t="str">
        <f t="array" ref="G907">XLOOKUP(B907,LFinder!A:A,LFinder!B:B,"absent des plateformes")</f>
        <v>absent des plateformes</v>
      </c>
    </row>
    <row r="908">
      <c r="A908" s="3" t="s">
        <v>1031</v>
      </c>
      <c r="B908" s="4" t="str">
        <f>IFERROR(__xludf.DUMMYFUNCTION("REGEXREPLACE(A908, ""^https?://(www\.)?|/.*"", """")"),"detective-banque.fr")</f>
        <v>detective-banque.fr</v>
      </c>
      <c r="C908" s="1" t="s">
        <v>8</v>
      </c>
      <c r="D908" s="1">
        <v>1.0</v>
      </c>
      <c r="E908" s="1" t="s">
        <v>51</v>
      </c>
      <c r="F908" s="1" t="s">
        <v>54</v>
      </c>
      <c r="G908" s="5" t="str">
        <f t="array" ref="G908">XLOOKUP(B908,LFinder!A:A,LFinder!B:B,"absent des plateformes")</f>
        <v>absent des plateformes</v>
      </c>
    </row>
    <row r="909">
      <c r="A909" s="3" t="s">
        <v>1032</v>
      </c>
      <c r="B909" s="4" t="str">
        <f>IFERROR(__xludf.DUMMYFUNCTION("REGEXREPLACE(A909, ""^https?://(www\.)?|/.*"", """")"),"detective-banque.fr")</f>
        <v>detective-banque.fr</v>
      </c>
      <c r="C909" s="1" t="s">
        <v>8</v>
      </c>
      <c r="D909" s="1">
        <v>1.0</v>
      </c>
      <c r="E909" s="1" t="s">
        <v>51</v>
      </c>
      <c r="F909" s="1" t="s">
        <v>54</v>
      </c>
      <c r="G909" s="5" t="str">
        <f t="array" ref="G909">XLOOKUP(B909,LFinder!A:A,LFinder!B:B,"absent des plateformes")</f>
        <v>absent des plateformes</v>
      </c>
    </row>
    <row r="910">
      <c r="A910" s="3" t="s">
        <v>1033</v>
      </c>
      <c r="B910" s="4" t="str">
        <f>IFERROR(__xludf.DUMMYFUNCTION("REGEXREPLACE(A910, ""^https?://(www\.)?|/.*"", """")"),"detective-banque.fr")</f>
        <v>detective-banque.fr</v>
      </c>
      <c r="C910" s="1" t="s">
        <v>8</v>
      </c>
      <c r="D910" s="1">
        <v>1.0</v>
      </c>
      <c r="E910" s="1" t="s">
        <v>82</v>
      </c>
      <c r="F910" s="1" t="s">
        <v>54</v>
      </c>
      <c r="G910" s="5" t="str">
        <f t="array" ref="G910">XLOOKUP(B910,LFinder!A:A,LFinder!B:B,"absent des plateformes")</f>
        <v>absent des plateformes</v>
      </c>
    </row>
    <row r="911">
      <c r="A911" s="3" t="s">
        <v>1034</v>
      </c>
      <c r="B911" s="4" t="str">
        <f>IFERROR(__xludf.DUMMYFUNCTION("REGEXREPLACE(A911, ""^https?://(www\.)?|/.*"", """")"),"detective-banque.fr")</f>
        <v>detective-banque.fr</v>
      </c>
      <c r="C911" s="1" t="s">
        <v>8</v>
      </c>
      <c r="D911" s="1">
        <v>1.0</v>
      </c>
      <c r="E911" s="1" t="s">
        <v>51</v>
      </c>
      <c r="F911" s="1" t="s">
        <v>54</v>
      </c>
      <c r="G911" s="5" t="str">
        <f t="array" ref="G911">XLOOKUP(B911,LFinder!A:A,LFinder!B:B,"absent des plateformes")</f>
        <v>absent des plateformes</v>
      </c>
    </row>
    <row r="912">
      <c r="A912" s="3" t="s">
        <v>1035</v>
      </c>
      <c r="B912" s="4" t="str">
        <f>IFERROR(__xludf.DUMMYFUNCTION("REGEXREPLACE(A912, ""^https?://(www\.)?|/.*"", """")"),"detective-banque.fr")</f>
        <v>detective-banque.fr</v>
      </c>
      <c r="C912" s="1" t="s">
        <v>8</v>
      </c>
      <c r="D912" s="1">
        <v>1.0</v>
      </c>
      <c r="E912" s="1" t="s">
        <v>16</v>
      </c>
      <c r="F912" s="1" t="s">
        <v>54</v>
      </c>
      <c r="G912" s="5" t="str">
        <f t="array" ref="G912">XLOOKUP(B912,LFinder!A:A,LFinder!B:B,"absent des plateformes")</f>
        <v>absent des plateformes</v>
      </c>
    </row>
    <row r="913">
      <c r="A913" s="3" t="s">
        <v>1036</v>
      </c>
      <c r="B913" s="4" t="str">
        <f>IFERROR(__xludf.DUMMYFUNCTION("REGEXREPLACE(A913, ""^https?://(www\.)?|/.*"", """")"),"indy.fr")</f>
        <v>indy.fr</v>
      </c>
      <c r="C913" s="1" t="s">
        <v>8</v>
      </c>
      <c r="D913" s="1">
        <v>1.0</v>
      </c>
      <c r="E913" s="1" t="s">
        <v>47</v>
      </c>
      <c r="F913" s="1" t="s">
        <v>10</v>
      </c>
      <c r="G913" s="5" t="str">
        <f t="array" ref="G913">XLOOKUP(B913,LFinder!A:A,LFinder!B:B,"absent des plateformes")</f>
        <v>absent des plateformes</v>
      </c>
    </row>
    <row r="914">
      <c r="A914" s="3" t="s">
        <v>1037</v>
      </c>
      <c r="B914" s="4" t="str">
        <f>IFERROR(__xludf.DUMMYFUNCTION("REGEXREPLACE(A914, ""^https?://(www\.)?|/.*"", """")"),"indy.fr")</f>
        <v>indy.fr</v>
      </c>
      <c r="C914" s="1" t="s">
        <v>8</v>
      </c>
      <c r="D914" s="1">
        <v>1.0</v>
      </c>
      <c r="E914" s="1" t="s">
        <v>56</v>
      </c>
      <c r="F914" s="1" t="s">
        <v>10</v>
      </c>
      <c r="G914" s="5" t="str">
        <f t="array" ref="G914">XLOOKUP(B914,LFinder!A:A,LFinder!B:B,"absent des plateformes")</f>
        <v>absent des plateformes</v>
      </c>
    </row>
    <row r="915">
      <c r="A915" s="3" t="s">
        <v>1038</v>
      </c>
      <c r="B915" s="4" t="str">
        <f>IFERROR(__xludf.DUMMYFUNCTION("REGEXREPLACE(A915, ""^https?://(www\.)?|/.*"", """")"),"indy.fr")</f>
        <v>indy.fr</v>
      </c>
      <c r="C915" s="1" t="s">
        <v>8</v>
      </c>
      <c r="D915" s="1">
        <v>1.0</v>
      </c>
      <c r="E915" s="1" t="s">
        <v>56</v>
      </c>
      <c r="F915" s="1" t="s">
        <v>10</v>
      </c>
      <c r="G915" s="5" t="str">
        <f t="array" ref="G915">XLOOKUP(B915,LFinder!A:A,LFinder!B:B,"absent des plateformes")</f>
        <v>absent des plateformes</v>
      </c>
    </row>
    <row r="916">
      <c r="A916" s="3" t="s">
        <v>1039</v>
      </c>
      <c r="B916" s="4" t="str">
        <f>IFERROR(__xludf.DUMMYFUNCTION("REGEXREPLACE(A916, ""^https?://(www\.)?|/.*"", """")"),"indy.fr")</f>
        <v>indy.fr</v>
      </c>
      <c r="C916" s="1" t="s">
        <v>50</v>
      </c>
      <c r="D916" s="1">
        <v>1.0</v>
      </c>
      <c r="E916" s="1" t="s">
        <v>51</v>
      </c>
      <c r="F916" s="1" t="s">
        <v>54</v>
      </c>
      <c r="G916" s="5" t="str">
        <f t="array" ref="G916">XLOOKUP(B916,LFinder!A:A,LFinder!B:B,"absent des plateformes")</f>
        <v>absent des plateformes</v>
      </c>
    </row>
    <row r="917">
      <c r="A917" s="3" t="s">
        <v>1040</v>
      </c>
      <c r="B917" s="4" t="str">
        <f>IFERROR(__xludf.DUMMYFUNCTION("REGEXREPLACE(A917, ""^https?://(www\.)?|/.*"", """")"),"indy.fr")</f>
        <v>indy.fr</v>
      </c>
      <c r="C917" s="1" t="s">
        <v>8</v>
      </c>
      <c r="D917" s="1">
        <v>1.0</v>
      </c>
      <c r="E917" s="1" t="s">
        <v>12</v>
      </c>
      <c r="F917" s="1" t="s">
        <v>10</v>
      </c>
      <c r="G917" s="5" t="str">
        <f t="array" ref="G917">XLOOKUP(B917,LFinder!A:A,LFinder!B:B,"absent des plateformes")</f>
        <v>absent des plateformes</v>
      </c>
    </row>
    <row r="918">
      <c r="A918" s="3" t="s">
        <v>1041</v>
      </c>
      <c r="B918" s="4" t="str">
        <f>IFERROR(__xludf.DUMMYFUNCTION("REGEXREPLACE(A918, ""^https?://(www\.)?|/.*"", """")"),"indy.fr")</f>
        <v>indy.fr</v>
      </c>
      <c r="C918" s="1" t="s">
        <v>8</v>
      </c>
      <c r="D918" s="1">
        <v>1.0</v>
      </c>
      <c r="E918" s="1" t="s">
        <v>82</v>
      </c>
      <c r="F918" s="1" t="s">
        <v>10</v>
      </c>
      <c r="G918" s="5" t="str">
        <f t="array" ref="G918">XLOOKUP(B918,LFinder!A:A,LFinder!B:B,"absent des plateformes")</f>
        <v>absent des plateformes</v>
      </c>
    </row>
    <row r="919">
      <c r="A919" s="3" t="s">
        <v>1042</v>
      </c>
      <c r="B919" s="4" t="str">
        <f>IFERROR(__xludf.DUMMYFUNCTION("REGEXREPLACE(A919, ""^https?://(www\.)?|/.*"", """")"),"indy.fr")</f>
        <v>indy.fr</v>
      </c>
      <c r="C919" s="1" t="s">
        <v>8</v>
      </c>
      <c r="D919" s="1">
        <v>1.0</v>
      </c>
      <c r="E919" s="1" t="s">
        <v>14</v>
      </c>
      <c r="F919" s="1" t="s">
        <v>10</v>
      </c>
      <c r="G919" s="5" t="str">
        <f t="array" ref="G919">XLOOKUP(B919,LFinder!A:A,LFinder!B:B,"absent des plateformes")</f>
        <v>absent des plateformes</v>
      </c>
    </row>
    <row r="920">
      <c r="A920" s="3" t="s">
        <v>1043</v>
      </c>
      <c r="B920" s="4" t="str">
        <f>IFERROR(__xludf.DUMMYFUNCTION("REGEXREPLACE(A920, ""^https?://(www\.)?|/.*"", """")"),"indy.fr")</f>
        <v>indy.fr</v>
      </c>
      <c r="C920" s="1" t="s">
        <v>8</v>
      </c>
      <c r="D920" s="1">
        <v>1.0</v>
      </c>
      <c r="E920" s="1" t="s">
        <v>16</v>
      </c>
      <c r="F920" s="1" t="s">
        <v>10</v>
      </c>
      <c r="G920" s="5" t="str">
        <f t="array" ref="G920">XLOOKUP(B920,LFinder!A:A,LFinder!B:B,"absent des plateformes")</f>
        <v>absent des plateformes</v>
      </c>
    </row>
    <row r="921">
      <c r="A921" s="3" t="s">
        <v>1044</v>
      </c>
      <c r="B921" s="4" t="str">
        <f>IFERROR(__xludf.DUMMYFUNCTION("REGEXREPLACE(A921, ""^https?://(www\.)?|/.*"", """")"),"banquepro.fr")</f>
        <v>banquepro.fr</v>
      </c>
      <c r="C921" s="1" t="s">
        <v>8</v>
      </c>
      <c r="D921" s="1">
        <v>1.0</v>
      </c>
      <c r="E921" s="1" t="s">
        <v>82</v>
      </c>
      <c r="F921" s="1" t="s">
        <v>10</v>
      </c>
      <c r="G921" s="5" t="str">
        <f t="array" ref="G921">XLOOKUP(B921,LFinder!A:A,LFinder!B:B,"absent des plateformes")</f>
        <v>absent des plateformes</v>
      </c>
    </row>
    <row r="922">
      <c r="A922" s="3" t="s">
        <v>1045</v>
      </c>
      <c r="B922" s="4" t="str">
        <f>IFERROR(__xludf.DUMMYFUNCTION("REGEXREPLACE(A922, ""^https?://(www\.)?|/.*"", """")"),"qonto.com")</f>
        <v>qonto.com</v>
      </c>
      <c r="C922" s="1" t="s">
        <v>8</v>
      </c>
      <c r="D922" s="1">
        <v>1.0</v>
      </c>
      <c r="E922" s="1" t="s">
        <v>91</v>
      </c>
      <c r="F922" s="1" t="s">
        <v>10</v>
      </c>
      <c r="G922" s="5" t="str">
        <f t="array" ref="G922">XLOOKUP(B922,LFinder!A:A,LFinder!B:B,"absent des plateformes")</f>
        <v>absent des plateformes</v>
      </c>
    </row>
    <row r="923">
      <c r="A923" s="3" t="s">
        <v>1046</v>
      </c>
      <c r="B923" s="4" t="str">
        <f>IFERROR(__xludf.DUMMYFUNCTION("REGEXREPLACE(A923, ""^https?://(www\.)?|/.*"", """")"),"qonto.com")</f>
        <v>qonto.com</v>
      </c>
      <c r="C923" s="1" t="s">
        <v>50</v>
      </c>
      <c r="D923" s="1">
        <v>1.0</v>
      </c>
      <c r="E923" s="1" t="s">
        <v>51</v>
      </c>
      <c r="F923" s="1" t="s">
        <v>10</v>
      </c>
      <c r="G923" s="5" t="str">
        <f t="array" ref="G923">XLOOKUP(B923,LFinder!A:A,LFinder!B:B,"absent des plateformes")</f>
        <v>absent des plateformes</v>
      </c>
    </row>
    <row r="924">
      <c r="A924" s="3" t="s">
        <v>1047</v>
      </c>
      <c r="B924" s="4" t="str">
        <f>IFERROR(__xludf.DUMMYFUNCTION("REGEXREPLACE(A924, ""^https?://(www\.)?|/.*"", """")"),"qonto.com")</f>
        <v>qonto.com</v>
      </c>
      <c r="C924" s="1" t="s">
        <v>8</v>
      </c>
      <c r="D924" s="1">
        <v>1.0</v>
      </c>
      <c r="E924" s="1" t="s">
        <v>174</v>
      </c>
      <c r="F924" s="1" t="s">
        <v>10</v>
      </c>
      <c r="G924" s="5" t="str">
        <f t="array" ref="G924">XLOOKUP(B924,LFinder!A:A,LFinder!B:B,"absent des plateformes")</f>
        <v>absent des plateformes</v>
      </c>
    </row>
    <row r="925">
      <c r="A925" s="3" t="s">
        <v>1048</v>
      </c>
      <c r="B925" s="4" t="str">
        <f>IFERROR(__xludf.DUMMYFUNCTION("REGEXREPLACE(A925, ""^https?://(www\.)?|/.*"", """")"),"qonto.com")</f>
        <v>qonto.com</v>
      </c>
      <c r="C925" s="1" t="s">
        <v>8</v>
      </c>
      <c r="D925" s="1">
        <v>1.0</v>
      </c>
      <c r="E925" s="1" t="s">
        <v>174</v>
      </c>
      <c r="F925" s="1" t="s">
        <v>10</v>
      </c>
      <c r="G925" s="5" t="str">
        <f t="array" ref="G925">XLOOKUP(B925,LFinder!A:A,LFinder!B:B,"absent des plateformes")</f>
        <v>absent des plateformes</v>
      </c>
    </row>
    <row r="926">
      <c r="A926" s="3" t="s">
        <v>1049</v>
      </c>
      <c r="B926" s="4" t="str">
        <f>IFERROR(__xludf.DUMMYFUNCTION("REGEXREPLACE(A926, ""^https?://(www\.)?|/.*"", """")"),"qonto.com")</f>
        <v>qonto.com</v>
      </c>
      <c r="C926" s="1" t="s">
        <v>50</v>
      </c>
      <c r="D926" s="1">
        <v>1.0</v>
      </c>
      <c r="E926" s="1" t="s">
        <v>66</v>
      </c>
      <c r="F926" s="1" t="s">
        <v>54</v>
      </c>
      <c r="G926" s="5" t="str">
        <f t="array" ref="G926">XLOOKUP(B926,LFinder!A:A,LFinder!B:B,"absent des plateformes")</f>
        <v>absent des plateformes</v>
      </c>
    </row>
    <row r="927">
      <c r="A927" s="3" t="s">
        <v>1050</v>
      </c>
      <c r="B927" s="4" t="str">
        <f>IFERROR(__xludf.DUMMYFUNCTION("REGEXREPLACE(A927, ""^https?://(www\.)?|/.*"", """")"),"qonto.com")</f>
        <v>qonto.com</v>
      </c>
      <c r="C927" s="1" t="s">
        <v>8</v>
      </c>
      <c r="D927" s="1">
        <v>1.0</v>
      </c>
      <c r="E927" s="1" t="s">
        <v>14</v>
      </c>
      <c r="F927" s="1" t="s">
        <v>10</v>
      </c>
      <c r="G927" s="5" t="str">
        <f t="array" ref="G927">XLOOKUP(B927,LFinder!A:A,LFinder!B:B,"absent des plateformes")</f>
        <v>absent des plateformes</v>
      </c>
    </row>
    <row r="928">
      <c r="A928" s="3" t="s">
        <v>1051</v>
      </c>
      <c r="B928" s="4" t="str">
        <f>IFERROR(__xludf.DUMMYFUNCTION("REGEXREPLACE(A928, ""^https?://(www\.)?|/.*"", """")"),"monoutildegestion.fr")</f>
        <v>monoutildegestion.fr</v>
      </c>
      <c r="C928" s="1" t="s">
        <v>8</v>
      </c>
      <c r="D928" s="1">
        <v>1.0</v>
      </c>
      <c r="E928" s="1" t="s">
        <v>12</v>
      </c>
      <c r="F928" s="1" t="s">
        <v>10</v>
      </c>
      <c r="G928" s="5" t="str">
        <f t="array" ref="G928">XLOOKUP(B928,LFinder!A:A,LFinder!B:B,"absent des plateformes")</f>
        <v>absent des plateformes</v>
      </c>
    </row>
    <row r="929">
      <c r="A929" s="3" t="s">
        <v>1052</v>
      </c>
      <c r="B929" s="4" t="str">
        <f>IFERROR(__xludf.DUMMYFUNCTION("REGEXREPLACE(A929, ""^https?://(www\.)?|/.*"", """")"),"monoutildegestion.fr")</f>
        <v>monoutildegestion.fr</v>
      </c>
      <c r="C929" s="1" t="s">
        <v>8</v>
      </c>
      <c r="D929" s="1">
        <v>1.0</v>
      </c>
      <c r="E929" s="1" t="s">
        <v>47</v>
      </c>
      <c r="F929" s="1" t="s">
        <v>10</v>
      </c>
      <c r="G929" s="5" t="str">
        <f t="array" ref="G929">XLOOKUP(B929,LFinder!A:A,LFinder!B:B,"absent des plateformes")</f>
        <v>absent des plateformes</v>
      </c>
    </row>
    <row r="930">
      <c r="A930" s="3" t="s">
        <v>1053</v>
      </c>
      <c r="B930" s="4" t="str">
        <f>IFERROR(__xludf.DUMMYFUNCTION("REGEXREPLACE(A930, ""^https?://(www\.)?|/.*"", """")"),"lelabentrepreneur.com")</f>
        <v>lelabentrepreneur.com</v>
      </c>
      <c r="C930" s="1" t="s">
        <v>8</v>
      </c>
      <c r="D930" s="1">
        <v>1.0</v>
      </c>
      <c r="E930" s="1" t="s">
        <v>12</v>
      </c>
      <c r="F930" s="1" t="s">
        <v>10</v>
      </c>
      <c r="G930" s="5" t="str">
        <f t="array" ref="G930">XLOOKUP(B930,LFinder!A:A,LFinder!B:B,"absent des plateformes")</f>
        <v>absent des plateformes</v>
      </c>
    </row>
    <row r="931">
      <c r="A931" s="3" t="s">
        <v>1054</v>
      </c>
      <c r="B931" s="4" t="str">
        <f>IFERROR(__xludf.DUMMYFUNCTION("REGEXREPLACE(A931, ""^https?://(www\.)?|/.*"", """")"),"lelabentrepreneur.com")</f>
        <v>lelabentrepreneur.com</v>
      </c>
      <c r="C931" s="1" t="s">
        <v>8</v>
      </c>
      <c r="D931" s="1">
        <v>1.0</v>
      </c>
      <c r="E931" s="1" t="s">
        <v>12</v>
      </c>
      <c r="F931" s="1" t="s">
        <v>10</v>
      </c>
      <c r="G931" s="5" t="str">
        <f t="array" ref="G931">XLOOKUP(B931,LFinder!A:A,LFinder!B:B,"absent des plateformes")</f>
        <v>absent des plateformes</v>
      </c>
    </row>
    <row r="932">
      <c r="A932" s="3" t="s">
        <v>1055</v>
      </c>
      <c r="B932" s="4" t="str">
        <f>IFERROR(__xludf.DUMMYFUNCTION("REGEXREPLACE(A932, ""^https?://(www\.)?|/.*"", """")"),"comparabanques.fr")</f>
        <v>comparabanques.fr</v>
      </c>
      <c r="C932" s="1" t="s">
        <v>8</v>
      </c>
      <c r="D932" s="1">
        <v>1.0</v>
      </c>
      <c r="E932" s="1" t="s">
        <v>174</v>
      </c>
      <c r="F932" s="1" t="s">
        <v>10</v>
      </c>
      <c r="G932" s="5" t="str">
        <f t="array" ref="G932">XLOOKUP(B932,LFinder!A:A,LFinder!B:B,"absent des plateformes")</f>
        <v>absent des plateformes</v>
      </c>
    </row>
    <row r="933">
      <c r="A933" s="3" t="s">
        <v>1056</v>
      </c>
      <c r="B933" s="4" t="str">
        <f>IFERROR(__xludf.DUMMYFUNCTION("REGEXREPLACE(A933, ""^https?://(www\.)?|/.*"", """")"),"comparabanques.fr")</f>
        <v>comparabanques.fr</v>
      </c>
      <c r="C933" s="1" t="s">
        <v>50</v>
      </c>
      <c r="D933" s="1">
        <v>1.0</v>
      </c>
      <c r="E933" s="1" t="s">
        <v>51</v>
      </c>
      <c r="F933" s="1" t="s">
        <v>10</v>
      </c>
      <c r="G933" s="5" t="str">
        <f t="array" ref="G933">XLOOKUP(B933,LFinder!A:A,LFinder!B:B,"absent des plateformes")</f>
        <v>absent des plateformes</v>
      </c>
    </row>
    <row r="934">
      <c r="A934" s="3" t="s">
        <v>1057</v>
      </c>
      <c r="B934" s="4" t="str">
        <f>IFERROR(__xludf.DUMMYFUNCTION("REGEXREPLACE(A934, ""^https?://(www\.)?|/.*"", """")"),"comparabanques.fr")</f>
        <v>comparabanques.fr</v>
      </c>
      <c r="C934" s="1" t="s">
        <v>50</v>
      </c>
      <c r="D934" s="1">
        <v>1.0</v>
      </c>
      <c r="E934" s="1" t="s">
        <v>51</v>
      </c>
      <c r="F934" s="1" t="s">
        <v>10</v>
      </c>
      <c r="G934" s="5" t="str">
        <f t="array" ref="G934">XLOOKUP(B934,LFinder!A:A,LFinder!B:B,"absent des plateformes")</f>
        <v>absent des plateformes</v>
      </c>
    </row>
    <row r="935">
      <c r="A935" s="3" t="s">
        <v>1058</v>
      </c>
      <c r="B935" s="4" t="str">
        <f>IFERROR(__xludf.DUMMYFUNCTION("REGEXREPLACE(A935, ""^https?://(www\.)?|/.*"", """")"),"comparabanques.fr")</f>
        <v>comparabanques.fr</v>
      </c>
      <c r="C935" s="1" t="s">
        <v>8</v>
      </c>
      <c r="D935" s="1">
        <v>1.0</v>
      </c>
      <c r="E935" s="1" t="s">
        <v>16</v>
      </c>
      <c r="F935" s="1" t="s">
        <v>10</v>
      </c>
      <c r="G935" s="5" t="str">
        <f t="array" ref="G935">XLOOKUP(B935,LFinder!A:A,LFinder!B:B,"absent des plateformes")</f>
        <v>absent des plateformes</v>
      </c>
    </row>
    <row r="936">
      <c r="A936" s="3" t="s">
        <v>1059</v>
      </c>
      <c r="B936" s="4" t="str">
        <f>IFERROR(__xludf.DUMMYFUNCTION("REGEXREPLACE(A936, ""^https?://(www\.)?|/.*"", """")"),"comparabanques.fr")</f>
        <v>comparabanques.fr</v>
      </c>
      <c r="C936" s="1" t="s">
        <v>8</v>
      </c>
      <c r="D936" s="1">
        <v>1.0</v>
      </c>
      <c r="E936" s="1" t="s">
        <v>16</v>
      </c>
      <c r="F936" s="1" t="s">
        <v>10</v>
      </c>
      <c r="G936" s="5" t="str">
        <f t="array" ref="G936">XLOOKUP(B936,LFinder!A:A,LFinder!B:B,"absent des plateformes")</f>
        <v>absent des plateformes</v>
      </c>
    </row>
    <row r="937">
      <c r="A937" s="3" t="s">
        <v>1060</v>
      </c>
      <c r="B937" s="4" t="str">
        <f>IFERROR(__xludf.DUMMYFUNCTION("REGEXREPLACE(A937, ""^https?://(www\.)?|/.*"", """")"),"sage.com")</f>
        <v>sage.com</v>
      </c>
      <c r="C937" s="1" t="s">
        <v>8</v>
      </c>
      <c r="D937" s="1">
        <v>1.0</v>
      </c>
      <c r="E937" s="1" t="s">
        <v>12</v>
      </c>
      <c r="F937" s="1" t="s">
        <v>10</v>
      </c>
      <c r="G937" s="5" t="str">
        <f t="array" ref="G937">XLOOKUP(B937,LFinder!A:A,LFinder!B:B,"absent des plateformes")</f>
        <v>absent des plateformes</v>
      </c>
    </row>
    <row r="938">
      <c r="A938" s="3" t="s">
        <v>1061</v>
      </c>
      <c r="B938" s="4" t="str">
        <f>IFERROR(__xludf.DUMMYFUNCTION("REGEXREPLACE(A938, ""^https?://(www\.)?|/.*"", """")"),"sage.com")</f>
        <v>sage.com</v>
      </c>
      <c r="C938" s="1" t="s">
        <v>8</v>
      </c>
      <c r="D938" s="1">
        <v>1.0</v>
      </c>
      <c r="E938" s="1" t="s">
        <v>98</v>
      </c>
      <c r="F938" s="1" t="s">
        <v>10</v>
      </c>
      <c r="G938" s="5" t="str">
        <f t="array" ref="G938">XLOOKUP(B938,LFinder!A:A,LFinder!B:B,"absent des plateformes")</f>
        <v>absent des plateformes</v>
      </c>
    </row>
    <row r="939">
      <c r="A939" s="3" t="s">
        <v>1062</v>
      </c>
      <c r="B939" s="4" t="str">
        <f>IFERROR(__xludf.DUMMYFUNCTION("REGEXREPLACE(A939, ""^https?://(www\.)?|/.*"", """")"),"sage.com")</f>
        <v>sage.com</v>
      </c>
      <c r="C939" s="1" t="s">
        <v>8</v>
      </c>
      <c r="D939" s="1">
        <v>1.0</v>
      </c>
      <c r="E939" s="1" t="s">
        <v>12</v>
      </c>
      <c r="F939" s="1" t="s">
        <v>10</v>
      </c>
      <c r="G939" s="5" t="str">
        <f t="array" ref="G939">XLOOKUP(B939,LFinder!A:A,LFinder!B:B,"absent des plateformes")</f>
        <v>absent des plateformes</v>
      </c>
    </row>
    <row r="940">
      <c r="A940" s="3" t="s">
        <v>1063</v>
      </c>
      <c r="B940" s="4" t="str">
        <f>IFERROR(__xludf.DUMMYFUNCTION("REGEXREPLACE(A940, ""^https?://(www\.)?|/.*"", """")"),"sage.com")</f>
        <v>sage.com</v>
      </c>
      <c r="C940" s="1" t="s">
        <v>8</v>
      </c>
      <c r="D940" s="1">
        <v>1.0</v>
      </c>
      <c r="E940" s="1" t="s">
        <v>12</v>
      </c>
      <c r="F940" s="1" t="s">
        <v>10</v>
      </c>
      <c r="G940" s="5" t="str">
        <f t="array" ref="G940">XLOOKUP(B940,LFinder!A:A,LFinder!B:B,"absent des plateformes")</f>
        <v>absent des plateformes</v>
      </c>
    </row>
    <row r="941">
      <c r="A941" s="3" t="s">
        <v>1064</v>
      </c>
      <c r="B941" s="4" t="str">
        <f>IFERROR(__xludf.DUMMYFUNCTION("REGEXREPLACE(A941, ""^https?://(www\.)?|/.*"", """")"),"sinao.fr")</f>
        <v>sinao.fr</v>
      </c>
      <c r="C941" s="1" t="s">
        <v>8</v>
      </c>
      <c r="D941" s="1">
        <v>1.0</v>
      </c>
      <c r="E941" s="1" t="s">
        <v>12</v>
      </c>
      <c r="F941" s="1" t="s">
        <v>10</v>
      </c>
      <c r="G941" s="5" t="str">
        <f t="array" ref="G941">XLOOKUP(B941,LFinder!A:A,LFinder!B:B,"absent des plateformes")</f>
        <v>absent des plateformes</v>
      </c>
    </row>
    <row r="942">
      <c r="A942" s="3" t="s">
        <v>1065</v>
      </c>
      <c r="B942" s="4" t="str">
        <f>IFERROR(__xludf.DUMMYFUNCTION("REGEXREPLACE(A942, ""^https?://(www\.)?|/.*"", """")"),"bleez.com")</f>
        <v>bleez.com</v>
      </c>
      <c r="C942" s="1" t="s">
        <v>8</v>
      </c>
      <c r="D942" s="1">
        <v>1.0</v>
      </c>
      <c r="E942" s="1" t="s">
        <v>12</v>
      </c>
      <c r="F942" s="1" t="s">
        <v>10</v>
      </c>
      <c r="G942" s="5" t="str">
        <f t="array" ref="G942">XLOOKUP(B942,LFinder!A:A,LFinder!B:B,"absent des plateformes")</f>
        <v>absent des plateformes</v>
      </c>
    </row>
    <row r="943">
      <c r="A943" s="3" t="s">
        <v>1066</v>
      </c>
      <c r="B943" s="4" t="str">
        <f>IFERROR(__xludf.DUMMYFUNCTION("REGEXREPLACE(A943, ""^https?://(www\.)?|/.*"", """")"),"fr.wikipedia.org")</f>
        <v>fr.wikipedia.org</v>
      </c>
      <c r="C943" s="1" t="s">
        <v>8</v>
      </c>
      <c r="D943" s="1">
        <v>1.0</v>
      </c>
      <c r="E943" s="1" t="s">
        <v>407</v>
      </c>
      <c r="F943" s="1" t="s">
        <v>10</v>
      </c>
      <c r="G943" s="5" t="str">
        <f t="array" ref="G943">XLOOKUP(B943,LFinder!A:A,LFinder!B:B,"absent des plateformes")</f>
        <v>absent des plateformes</v>
      </c>
    </row>
    <row r="944">
      <c r="A944" s="3" t="s">
        <v>1067</v>
      </c>
      <c r="B944" s="4" t="str">
        <f>IFERROR(__xludf.DUMMYFUNCTION("REGEXREPLACE(A944, ""^https?://(www\.)?|/.*"", """")"),"fr.wikipedia.org")</f>
        <v>fr.wikipedia.org</v>
      </c>
      <c r="C944" s="1" t="s">
        <v>8</v>
      </c>
      <c r="D944" s="1">
        <v>1.0</v>
      </c>
      <c r="E944" s="1" t="s">
        <v>407</v>
      </c>
      <c r="F944" s="1" t="s">
        <v>10</v>
      </c>
      <c r="G944" s="5" t="str">
        <f t="array" ref="G944">XLOOKUP(B944,LFinder!A:A,LFinder!B:B,"absent des plateformes")</f>
        <v>absent des plateformes</v>
      </c>
    </row>
    <row r="945">
      <c r="A945" s="3" t="s">
        <v>1068</v>
      </c>
      <c r="B945" s="4" t="str">
        <f>IFERROR(__xludf.DUMMYFUNCTION("REGEXREPLACE(A945, ""^https?://(www\.)?|/.*"", """")"),"fr.wikipedia.org")</f>
        <v>fr.wikipedia.org</v>
      </c>
      <c r="C945" s="1" t="s">
        <v>8</v>
      </c>
      <c r="D945" s="1">
        <v>1.0</v>
      </c>
      <c r="E945" s="1" t="s">
        <v>82</v>
      </c>
      <c r="F945" s="1" t="s">
        <v>10</v>
      </c>
      <c r="G945" s="5" t="str">
        <f t="array" ref="G945">XLOOKUP(B945,LFinder!A:A,LFinder!B:B,"absent des plateformes")</f>
        <v>absent des plateformes</v>
      </c>
    </row>
    <row r="946">
      <c r="A946" s="3" t="s">
        <v>1069</v>
      </c>
      <c r="B946" s="4" t="str">
        <f>IFERROR(__xludf.DUMMYFUNCTION("REGEXREPLACE(A946, ""^https?://(www\.)?|/.*"", """")"),"fr.wikipedia.org")</f>
        <v>fr.wikipedia.org</v>
      </c>
      <c r="C946" s="1" t="s">
        <v>8</v>
      </c>
      <c r="D946" s="1">
        <v>1.0</v>
      </c>
      <c r="E946" s="1" t="s">
        <v>98</v>
      </c>
      <c r="F946" s="1" t="s">
        <v>10</v>
      </c>
      <c r="G946" s="5" t="str">
        <f t="array" ref="G946">XLOOKUP(B946,LFinder!A:A,LFinder!B:B,"absent des plateformes")</f>
        <v>absent des plateformes</v>
      </c>
    </row>
    <row r="947">
      <c r="A947" s="3" t="s">
        <v>1070</v>
      </c>
      <c r="B947" s="4" t="str">
        <f>IFERROR(__xludf.DUMMYFUNCTION("REGEXREPLACE(A947, ""^https?://(www\.)?|/.*"", """")"),"fr.wikipedia.org")</f>
        <v>fr.wikipedia.org</v>
      </c>
      <c r="C947" s="1" t="s">
        <v>8</v>
      </c>
      <c r="D947" s="1">
        <v>1.0</v>
      </c>
      <c r="E947" s="1" t="s">
        <v>51</v>
      </c>
      <c r="F947" s="1" t="s">
        <v>10</v>
      </c>
      <c r="G947" s="5" t="str">
        <f t="array" ref="G947">XLOOKUP(B947,LFinder!A:A,LFinder!B:B,"absent des plateformes")</f>
        <v>absent des plateformes</v>
      </c>
    </row>
    <row r="948">
      <c r="A948" s="3" t="s">
        <v>1071</v>
      </c>
      <c r="B948" s="4" t="str">
        <f>IFERROR(__xludf.DUMMYFUNCTION("REGEXREPLACE(A948, ""^https?://(www\.)?|/.*"", """")"),"facture-electronique-obligatoire.fr")</f>
        <v>facture-electronique-obligatoire.fr</v>
      </c>
      <c r="C948" s="1" t="s">
        <v>8</v>
      </c>
      <c r="D948" s="1">
        <v>1.0</v>
      </c>
      <c r="E948" s="1" t="s">
        <v>98</v>
      </c>
      <c r="F948" s="1" t="s">
        <v>10</v>
      </c>
      <c r="G948" s="5" t="str">
        <f t="array" ref="G948">XLOOKUP(B948,LFinder!A:A,LFinder!B:B,"absent des plateformes")</f>
        <v>absent des plateformes</v>
      </c>
    </row>
    <row r="949">
      <c r="A949" s="3" t="s">
        <v>1072</v>
      </c>
      <c r="B949" s="4" t="str">
        <f>IFERROR(__xludf.DUMMYFUNCTION("REGEXREPLACE(A949, ""^https?://(www\.)?|/.*"", """")"),"facture-electronique-obligatoire.fr")</f>
        <v>facture-electronique-obligatoire.fr</v>
      </c>
      <c r="C949" s="1" t="s">
        <v>8</v>
      </c>
      <c r="D949" s="1">
        <v>1.0</v>
      </c>
      <c r="E949" s="1" t="s">
        <v>98</v>
      </c>
      <c r="F949" s="1" t="s">
        <v>10</v>
      </c>
      <c r="G949" s="5" t="str">
        <f t="array" ref="G949">XLOOKUP(B949,LFinder!A:A,LFinder!B:B,"absent des plateformes")</f>
        <v>absent des plateformes</v>
      </c>
    </row>
    <row r="950">
      <c r="A950" s="3" t="s">
        <v>1073</v>
      </c>
      <c r="B950" s="4" t="str">
        <f>IFERROR(__xludf.DUMMYFUNCTION("REGEXREPLACE(A950, ""^https?://(www\.)?|/.*"", """")"),"facture-electronique-obligatoire.fr")</f>
        <v>facture-electronique-obligatoire.fr</v>
      </c>
      <c r="C950" s="1" t="s">
        <v>8</v>
      </c>
      <c r="D950" s="1">
        <v>1.0</v>
      </c>
      <c r="E950" s="1" t="s">
        <v>66</v>
      </c>
      <c r="F950" s="1" t="s">
        <v>10</v>
      </c>
      <c r="G950" s="5" t="str">
        <f t="array" ref="G950">XLOOKUP(B950,LFinder!A:A,LFinder!B:B,"absent des plateformes")</f>
        <v>absent des plateformes</v>
      </c>
    </row>
    <row r="951">
      <c r="A951" s="3" t="s">
        <v>1074</v>
      </c>
      <c r="B951" s="4" t="str">
        <f>IFERROR(__xludf.DUMMYFUNCTION("REGEXREPLACE(A951, ""^https?://(www\.)?|/.*"", """")"),"facture-electronique-obligatoire.fr")</f>
        <v>facture-electronique-obligatoire.fr</v>
      </c>
      <c r="C951" s="1" t="s">
        <v>8</v>
      </c>
      <c r="D951" s="1">
        <v>1.0</v>
      </c>
      <c r="E951" s="1" t="s">
        <v>66</v>
      </c>
      <c r="F951" s="1" t="s">
        <v>10</v>
      </c>
      <c r="G951" s="5" t="str">
        <f t="array" ref="G951">XLOOKUP(B951,LFinder!A:A,LFinder!B:B,"absent des plateformes")</f>
        <v>absent des plateformes</v>
      </c>
    </row>
    <row r="952">
      <c r="A952" s="3" t="s">
        <v>1075</v>
      </c>
      <c r="B952" s="4" t="str">
        <f>IFERROR(__xludf.DUMMYFUNCTION("REGEXREPLACE(A952, ""^https?://(www\.)?|/.*"", """")"),"facture-electronique-obligatoire.fr")</f>
        <v>facture-electronique-obligatoire.fr</v>
      </c>
      <c r="C952" s="1" t="s">
        <v>8</v>
      </c>
      <c r="D952" s="1">
        <v>1.0</v>
      </c>
      <c r="E952" s="1" t="s">
        <v>12</v>
      </c>
      <c r="F952" s="1" t="s">
        <v>10</v>
      </c>
      <c r="G952" s="5" t="str">
        <f t="array" ref="G952">XLOOKUP(B952,LFinder!A:A,LFinder!B:B,"absent des plateformes")</f>
        <v>absent des plateformes</v>
      </c>
    </row>
    <row r="953">
      <c r="A953" s="3" t="s">
        <v>1076</v>
      </c>
      <c r="B953" s="4" t="str">
        <f>IFERROR(__xludf.DUMMYFUNCTION("REGEXREPLACE(A953, ""^https?://(www\.)?|/.*"", """")"),"brait.cc")</f>
        <v>brait.cc</v>
      </c>
      <c r="C953" s="1" t="s">
        <v>8</v>
      </c>
      <c r="D953" s="1">
        <v>1.0</v>
      </c>
      <c r="E953" s="1" t="s">
        <v>66</v>
      </c>
      <c r="F953" s="1" t="s">
        <v>10</v>
      </c>
      <c r="G953" s="5" t="str">
        <f t="array" ref="G953">XLOOKUP(B953,LFinder!A:A,LFinder!B:B,"absent des plateformes")</f>
        <v>absent des plateformes</v>
      </c>
    </row>
    <row r="954">
      <c r="A954" s="3" t="s">
        <v>1077</v>
      </c>
      <c r="B954" s="4" t="str">
        <f>IFERROR(__xludf.DUMMYFUNCTION("REGEXREPLACE(A954, ""^https?://(www\.)?|/.*"", """")"),"b2brouter.net")</f>
        <v>b2brouter.net</v>
      </c>
      <c r="C954" s="1" t="s">
        <v>8</v>
      </c>
      <c r="D954" s="1">
        <v>1.0</v>
      </c>
      <c r="E954" s="1" t="s">
        <v>66</v>
      </c>
      <c r="F954" s="1" t="s">
        <v>10</v>
      </c>
      <c r="G954" s="5" t="str">
        <f t="array" ref="G954">XLOOKUP(B954,LFinder!A:A,LFinder!B:B,"absent des plateformes")</f>
        <v>absent des plateformes</v>
      </c>
    </row>
    <row r="955">
      <c r="A955" s="3" t="s">
        <v>1078</v>
      </c>
      <c r="B955" s="4" t="str">
        <f>IFERROR(__xludf.DUMMYFUNCTION("REGEXREPLACE(A955, ""^https?://(www\.)?|/.*"", """")"),"erp.comarch.com")</f>
        <v>erp.comarch.com</v>
      </c>
      <c r="C955" s="1" t="s">
        <v>8</v>
      </c>
      <c r="D955" s="1">
        <v>1.0</v>
      </c>
      <c r="E955" s="1" t="s">
        <v>66</v>
      </c>
      <c r="F955" s="1" t="s">
        <v>10</v>
      </c>
      <c r="G955" s="5" t="str">
        <f t="array" ref="G955">XLOOKUP(B955,LFinder!A:A,LFinder!B:B,"absent des plateformes")</f>
        <v>absent des plateformes</v>
      </c>
    </row>
    <row r="956">
      <c r="A956" s="3" t="s">
        <v>1079</v>
      </c>
      <c r="B956" s="4" t="str">
        <f>IFERROR(__xludf.DUMMYFUNCTION("REGEXREPLACE(A956, ""^https?://(www\.)?|/.*"", """")"),"storecove.com")</f>
        <v>storecove.com</v>
      </c>
      <c r="C956" s="1" t="s">
        <v>8</v>
      </c>
      <c r="D956" s="1">
        <v>1.0</v>
      </c>
      <c r="E956" s="1" t="s">
        <v>66</v>
      </c>
      <c r="F956" s="1" t="s">
        <v>10</v>
      </c>
      <c r="G956" s="5" t="str">
        <f t="array" ref="G956">XLOOKUP(B956,LFinder!A:A,LFinder!B:B,"absent des plateformes")</f>
        <v>absent des plateformes</v>
      </c>
    </row>
    <row r="957">
      <c r="A957" s="3" t="s">
        <v>1080</v>
      </c>
      <c r="B957" s="4" t="str">
        <f>IFERROR(__xludf.DUMMYFUNCTION("REGEXREPLACE(A957, ""^https?://(www\.)?|/.*"", """")"),"blog.groupseres.com")</f>
        <v>blog.groupseres.com</v>
      </c>
      <c r="C957" s="1" t="s">
        <v>8</v>
      </c>
      <c r="D957" s="1">
        <v>1.0</v>
      </c>
      <c r="E957" s="1" t="s">
        <v>66</v>
      </c>
      <c r="F957" s="1" t="s">
        <v>10</v>
      </c>
      <c r="G957" s="5" t="str">
        <f t="array" ref="G957">XLOOKUP(B957,LFinder!A:A,LFinder!B:B,"absent des plateformes")</f>
        <v>absent des plateformes</v>
      </c>
    </row>
    <row r="958">
      <c r="A958" s="3" t="s">
        <v>1081</v>
      </c>
      <c r="B958" s="4" t="str">
        <f>IFERROR(__xludf.DUMMYFUNCTION("REGEXREPLACE(A958, ""^https?://(www\.)?|/.*"", """")"),"theinvoicinghub.com")</f>
        <v>theinvoicinghub.com</v>
      </c>
      <c r="C958" s="1" t="s">
        <v>8</v>
      </c>
      <c r="D958" s="1">
        <v>1.0</v>
      </c>
      <c r="E958" s="1" t="s">
        <v>66</v>
      </c>
      <c r="F958" s="1" t="s">
        <v>10</v>
      </c>
      <c r="G958" s="5" t="str">
        <f t="array" ref="G958">XLOOKUP(B958,LFinder!A:A,LFinder!B:B,"absent des plateformes")</f>
        <v>absent des plateformes</v>
      </c>
    </row>
    <row r="959">
      <c r="A959" s="3" t="s">
        <v>1082</v>
      </c>
      <c r="B959" s="4" t="str">
        <f>IFERROR(__xludf.DUMMYFUNCTION("REGEXREPLACE(A959, ""^https?://(www\.)?|/.*"", """")"),"stripe.com")</f>
        <v>stripe.com</v>
      </c>
      <c r="C959" s="1" t="s">
        <v>50</v>
      </c>
      <c r="D959" s="1">
        <v>1.0</v>
      </c>
      <c r="E959" s="1" t="s">
        <v>66</v>
      </c>
      <c r="F959" s="1" t="s">
        <v>10</v>
      </c>
      <c r="G959" s="5" t="str">
        <f t="array" ref="G959">XLOOKUP(B959,LFinder!A:A,LFinder!B:B,"absent des plateformes")</f>
        <v>absent des plateformes</v>
      </c>
    </row>
    <row r="960">
      <c r="A960" s="3" t="s">
        <v>1083</v>
      </c>
      <c r="B960" s="4" t="str">
        <f>IFERROR(__xludf.DUMMYFUNCTION("REGEXREPLACE(A960, ""^https?://(www\.)?|/.*"", """")"),"stripe.com")</f>
        <v>stripe.com</v>
      </c>
      <c r="C960" s="1" t="s">
        <v>8</v>
      </c>
      <c r="D960" s="1">
        <v>1.0</v>
      </c>
      <c r="E960" s="1" t="s">
        <v>66</v>
      </c>
      <c r="F960" s="1" t="s">
        <v>10</v>
      </c>
      <c r="G960" s="5" t="str">
        <f t="array" ref="G960">XLOOKUP(B960,LFinder!A:A,LFinder!B:B,"absent des plateformes")</f>
        <v>absent des plateformes</v>
      </c>
    </row>
    <row r="961">
      <c r="A961" s="3" t="s">
        <v>1084</v>
      </c>
      <c r="B961" s="4" t="str">
        <f>IFERROR(__xludf.DUMMYFUNCTION("REGEXREPLACE(A961, ""^https?://(www\.)?|/.*"", """")"),"tecalliance.net")</f>
        <v>tecalliance.net</v>
      </c>
      <c r="C961" s="1" t="s">
        <v>8</v>
      </c>
      <c r="D961" s="1">
        <v>1.0</v>
      </c>
      <c r="E961" s="1" t="s">
        <v>66</v>
      </c>
      <c r="F961" s="1" t="s">
        <v>10</v>
      </c>
      <c r="G961" s="5" t="str">
        <f t="array" ref="G961">XLOOKUP(B961,LFinder!A:A,LFinder!B:B,"absent des plateformes")</f>
        <v>absent des plateformes</v>
      </c>
    </row>
    <row r="962">
      <c r="A962" s="3" t="s">
        <v>1085</v>
      </c>
      <c r="B962" s="4" t="str">
        <f>IFERROR(__xludf.DUMMYFUNCTION("REGEXREPLACE(A962, ""^https?://(www\.)?|/.*"", """")"),"cleartax.com")</f>
        <v>cleartax.com</v>
      </c>
      <c r="C962" s="1" t="s">
        <v>8</v>
      </c>
      <c r="D962" s="1">
        <v>1.0</v>
      </c>
      <c r="E962" s="1" t="s">
        <v>66</v>
      </c>
      <c r="F962" s="1" t="s">
        <v>10</v>
      </c>
      <c r="G962" s="5" t="str">
        <f t="array" ref="G962">XLOOKUP(B962,LFinder!A:A,LFinder!B:B,"absent des plateformes")</f>
        <v>absent des plateformes</v>
      </c>
    </row>
    <row r="963">
      <c r="A963" s="3" t="s">
        <v>1086</v>
      </c>
      <c r="B963" s="4" t="str">
        <f>IFERROR(__xludf.DUMMYFUNCTION("REGEXREPLACE(A963, ""^https?://(www\.)?|/.*"", """")"),"cleartax.com")</f>
        <v>cleartax.com</v>
      </c>
      <c r="C963" s="1" t="s">
        <v>8</v>
      </c>
      <c r="D963" s="1">
        <v>1.0</v>
      </c>
      <c r="E963" s="1" t="s">
        <v>66</v>
      </c>
      <c r="F963" s="1" t="s">
        <v>10</v>
      </c>
      <c r="G963" s="5" t="str">
        <f t="array" ref="G963">XLOOKUP(B963,LFinder!A:A,LFinder!B:B,"absent des plateformes")</f>
        <v>absent des plateformes</v>
      </c>
    </row>
    <row r="964">
      <c r="A964" s="3" t="s">
        <v>1087</v>
      </c>
      <c r="B964" s="4" t="str">
        <f>IFERROR(__xludf.DUMMYFUNCTION("REGEXREPLACE(A964, ""^https?://(www\.)?|/.*"", """")"),"compliant-invoice.eu")</f>
        <v>compliant-invoice.eu</v>
      </c>
      <c r="C964" s="1" t="s">
        <v>8</v>
      </c>
      <c r="D964" s="1">
        <v>1.0</v>
      </c>
      <c r="E964" s="1" t="s">
        <v>98</v>
      </c>
      <c r="F964" s="1" t="s">
        <v>10</v>
      </c>
      <c r="G964" s="5" t="str">
        <f t="array" ref="G964">XLOOKUP(B964,LFinder!A:A,LFinder!B:B,"absent des plateformes")</f>
        <v>absent des plateformes</v>
      </c>
    </row>
    <row r="965">
      <c r="A965" s="3" t="s">
        <v>1088</v>
      </c>
      <c r="B965" s="4" t="str">
        <f>IFERROR(__xludf.DUMMYFUNCTION("REGEXREPLACE(A965, ""^https?://(www\.)?|/.*"", """")"),"compliant-invoice.eu")</f>
        <v>compliant-invoice.eu</v>
      </c>
      <c r="C965" s="1" t="s">
        <v>8</v>
      </c>
      <c r="D965" s="1">
        <v>1.0</v>
      </c>
      <c r="E965" s="1" t="s">
        <v>66</v>
      </c>
      <c r="F965" s="1" t="s">
        <v>10</v>
      </c>
      <c r="G965" s="5" t="str">
        <f t="array" ref="G965">XLOOKUP(B965,LFinder!A:A,LFinder!B:B,"absent des plateformes")</f>
        <v>absent des plateformes</v>
      </c>
    </row>
    <row r="966">
      <c r="A966" s="3" t="s">
        <v>1089</v>
      </c>
      <c r="B966" s="4" t="str">
        <f>IFERROR(__xludf.DUMMYFUNCTION("REGEXREPLACE(A966, ""^https?://(www\.)?|/.*"", """")"),"tenorsolutions.com")</f>
        <v>tenorsolutions.com</v>
      </c>
      <c r="C966" s="1" t="s">
        <v>8</v>
      </c>
      <c r="D966" s="1">
        <v>1.0</v>
      </c>
      <c r="E966" s="1" t="s">
        <v>98</v>
      </c>
      <c r="F966" s="1" t="s">
        <v>10</v>
      </c>
      <c r="G966" s="5" t="str">
        <f t="array" ref="G966">XLOOKUP(B966,LFinder!A:A,LFinder!B:B,"absent des plateformes")</f>
        <v>absent des plateformes</v>
      </c>
    </row>
    <row r="967">
      <c r="A967" s="3" t="s">
        <v>1090</v>
      </c>
      <c r="B967" s="4" t="str">
        <f>IFERROR(__xludf.DUMMYFUNCTION("REGEXREPLACE(A967, ""^https?://(www\.)?|/.*"", """")"),"anyti.me")</f>
        <v>anyti.me</v>
      </c>
      <c r="C967" s="1" t="s">
        <v>8</v>
      </c>
      <c r="D967" s="1">
        <v>1.0</v>
      </c>
      <c r="E967" s="1" t="s">
        <v>66</v>
      </c>
      <c r="F967" s="1" t="s">
        <v>10</v>
      </c>
      <c r="G967" s="5" t="str">
        <f t="array" ref="G967">XLOOKUP(B967,LFinder!A:A,LFinder!B:B,"absent des plateformes")</f>
        <v>absent des plateformes</v>
      </c>
    </row>
    <row r="968">
      <c r="A968" s="3" t="s">
        <v>1091</v>
      </c>
      <c r="B968" s="4" t="str">
        <f>IFERROR(__xludf.DUMMYFUNCTION("REGEXREPLACE(A968, ""^https?://(www\.)?|/.*"", """")"),"anyti.me")</f>
        <v>anyti.me</v>
      </c>
      <c r="C968" s="1" t="s">
        <v>8</v>
      </c>
      <c r="D968" s="1">
        <v>1.0</v>
      </c>
      <c r="E968" s="1" t="s">
        <v>66</v>
      </c>
      <c r="F968" s="1" t="s">
        <v>10</v>
      </c>
      <c r="G968" s="5" t="str">
        <f t="array" ref="G968">XLOOKUP(B968,LFinder!A:A,LFinder!B:B,"absent des plateformes")</f>
        <v>absent des plateformes</v>
      </c>
    </row>
    <row r="969">
      <c r="A969" s="3" t="s">
        <v>1092</v>
      </c>
      <c r="B969" s="4" t="str">
        <f>IFERROR(__xludf.DUMMYFUNCTION("REGEXREPLACE(A969, ""^https?://(www\.)?|/.*"", """")"),"impots.gouv.fr")</f>
        <v>impots.gouv.fr</v>
      </c>
      <c r="C969" s="1" t="s">
        <v>8</v>
      </c>
      <c r="D969" s="1">
        <v>1.0</v>
      </c>
      <c r="E969" s="1" t="s">
        <v>98</v>
      </c>
      <c r="F969" s="1" t="s">
        <v>10</v>
      </c>
      <c r="G969" s="5" t="str">
        <f t="array" ref="G969">XLOOKUP(B969,LFinder!A:A,LFinder!B:B,"absent des plateformes")</f>
        <v>absent des plateformes</v>
      </c>
    </row>
    <row r="970">
      <c r="A970" s="3" t="s">
        <v>1093</v>
      </c>
      <c r="B970" s="4" t="str">
        <f>IFERROR(__xludf.DUMMYFUNCTION("REGEXREPLACE(A970, ""^https?://(www\.)?|/.*"", """")"),"impots.gouv.fr")</f>
        <v>impots.gouv.fr</v>
      </c>
      <c r="C970" s="1" t="s">
        <v>8</v>
      </c>
      <c r="D970" s="1">
        <v>1.0</v>
      </c>
      <c r="E970" s="1" t="s">
        <v>98</v>
      </c>
      <c r="F970" s="1" t="s">
        <v>10</v>
      </c>
      <c r="G970" s="5" t="str">
        <f t="array" ref="G970">XLOOKUP(B970,LFinder!A:A,LFinder!B:B,"absent des plateformes")</f>
        <v>absent des plateformes</v>
      </c>
    </row>
    <row r="971">
      <c r="A971" s="3" t="s">
        <v>1094</v>
      </c>
      <c r="B971" s="4" t="str">
        <f>IFERROR(__xludf.DUMMYFUNCTION("REGEXREPLACE(A971, ""^https?://(www\.)?|/.*"", """")"),"impots.gouv.fr")</f>
        <v>impots.gouv.fr</v>
      </c>
      <c r="C971" s="1" t="s">
        <v>8</v>
      </c>
      <c r="D971" s="1">
        <v>1.0</v>
      </c>
      <c r="E971" s="1" t="s">
        <v>33</v>
      </c>
      <c r="F971" s="1" t="s">
        <v>54</v>
      </c>
      <c r="G971" s="5" t="str">
        <f t="array" ref="G971">XLOOKUP(B971,LFinder!A:A,LFinder!B:B,"absent des plateformes")</f>
        <v>absent des plateformes</v>
      </c>
    </row>
    <row r="972">
      <c r="A972" s="3" t="s">
        <v>1095</v>
      </c>
      <c r="B972" s="4" t="str">
        <f>IFERROR(__xludf.DUMMYFUNCTION("REGEXREPLACE(A972, ""^https?://(www\.)?|/.*"", """")"),"impots.gouv.fr")</f>
        <v>impots.gouv.fr</v>
      </c>
      <c r="C972" s="1" t="s">
        <v>8</v>
      </c>
      <c r="D972" s="1">
        <v>1.0</v>
      </c>
      <c r="E972" s="1" t="s">
        <v>98</v>
      </c>
      <c r="F972" s="1" t="s">
        <v>10</v>
      </c>
      <c r="G972" s="5" t="str">
        <f t="array" ref="G972">XLOOKUP(B972,LFinder!A:A,LFinder!B:B,"absent des plateformes")</f>
        <v>absent des plateformes</v>
      </c>
    </row>
    <row r="973">
      <c r="A973" s="3" t="s">
        <v>1096</v>
      </c>
      <c r="B973" s="4" t="str">
        <f>IFERROR(__xludf.DUMMYFUNCTION("REGEXREPLACE(A973, ""^https?://(www\.)?|/.*"", """")"),"impots.gouv.fr")</f>
        <v>impots.gouv.fr</v>
      </c>
      <c r="C973" s="1" t="s">
        <v>8</v>
      </c>
      <c r="D973" s="1">
        <v>1.0</v>
      </c>
      <c r="E973" s="1" t="s">
        <v>98</v>
      </c>
      <c r="F973" s="1" t="s">
        <v>10</v>
      </c>
      <c r="G973" s="5" t="str">
        <f t="array" ref="G973">XLOOKUP(B973,LFinder!A:A,LFinder!B:B,"absent des plateformes")</f>
        <v>absent des plateformes</v>
      </c>
    </row>
    <row r="974">
      <c r="A974" s="3" t="s">
        <v>1097</v>
      </c>
      <c r="B974" s="4" t="str">
        <f>IFERROR(__xludf.DUMMYFUNCTION("REGEXREPLACE(A974, ""^https?://(www\.)?|/.*"", """")"),"impots.gouv.fr")</f>
        <v>impots.gouv.fr</v>
      </c>
      <c r="C974" s="1" t="s">
        <v>8</v>
      </c>
      <c r="D974" s="1">
        <v>1.0</v>
      </c>
      <c r="E974" s="1" t="s">
        <v>98</v>
      </c>
      <c r="F974" s="1" t="s">
        <v>10</v>
      </c>
      <c r="G974" s="5" t="str">
        <f t="array" ref="G974">XLOOKUP(B974,LFinder!A:A,LFinder!B:B,"absent des plateformes")</f>
        <v>absent des plateformes</v>
      </c>
    </row>
    <row r="975">
      <c r="A975" s="3" t="s">
        <v>1098</v>
      </c>
      <c r="B975" s="4" t="str">
        <f>IFERROR(__xludf.DUMMYFUNCTION("REGEXREPLACE(A975, ""^https?://(www\.)?|/.*"", """")"),"impots.gouv.fr")</f>
        <v>impots.gouv.fr</v>
      </c>
      <c r="C975" s="1" t="s">
        <v>8</v>
      </c>
      <c r="D975" s="1">
        <v>1.0</v>
      </c>
      <c r="E975" s="1" t="s">
        <v>98</v>
      </c>
      <c r="F975" s="1" t="s">
        <v>10</v>
      </c>
      <c r="G975" s="5" t="str">
        <f t="array" ref="G975">XLOOKUP(B975,LFinder!A:A,LFinder!B:B,"absent des plateformes")</f>
        <v>absent des plateformes</v>
      </c>
    </row>
    <row r="976">
      <c r="A976" s="3" t="s">
        <v>1099</v>
      </c>
      <c r="B976" s="4" t="str">
        <f>IFERROR(__xludf.DUMMYFUNCTION("REGEXREPLACE(A976, ""^https?://(www\.)?|/.*"", """")"),"entreprendre.service-public.fr")</f>
        <v>entreprendre.service-public.fr</v>
      </c>
      <c r="C976" s="1" t="s">
        <v>8</v>
      </c>
      <c r="D976" s="1">
        <v>1.0</v>
      </c>
      <c r="E976" s="1" t="s">
        <v>98</v>
      </c>
      <c r="F976" s="1" t="s">
        <v>10</v>
      </c>
      <c r="G976" s="5" t="str">
        <f t="array" ref="G976">XLOOKUP(B976,LFinder!A:A,LFinder!B:B,"absent des plateformes")</f>
        <v>absent des plateformes</v>
      </c>
    </row>
    <row r="977">
      <c r="A977" s="3" t="s">
        <v>1100</v>
      </c>
      <c r="B977" s="4" t="str">
        <f>IFERROR(__xludf.DUMMYFUNCTION("REGEXREPLACE(A977, ""^https?://(www\.)?|/.*"", """")"),"entreprendre.service-public.fr")</f>
        <v>entreprendre.service-public.fr</v>
      </c>
      <c r="C977" s="1" t="s">
        <v>8</v>
      </c>
      <c r="D977" s="1">
        <v>1.0</v>
      </c>
      <c r="E977" s="1" t="s">
        <v>51</v>
      </c>
      <c r="F977" s="1" t="s">
        <v>10</v>
      </c>
      <c r="G977" s="5" t="str">
        <f t="array" ref="G977">XLOOKUP(B977,LFinder!A:A,LFinder!B:B,"absent des plateformes")</f>
        <v>absent des plateformes</v>
      </c>
    </row>
  </sheetData>
  <autoFilter ref="$A$1:$G$977">
    <sortState ref="A1:G977">
      <sortCondition ref="G1:G977"/>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location=":~:text=En%20effet%2C%20de%20nos%20jours%2C%20les%20banques,ce%2C%20gr%C3%A2ce%20%C3%A0%20la%20num%C3%A9risation%20des%20d%C3%A9marches." ref="A25"/>
    <hyperlink r:id="rId25" ref="A26"/>
    <hyperlink r:id="rId26" ref="A27"/>
    <hyperlink r:id="rId27" ref="A28"/>
    <hyperlink r:id="rId28" ref="A29"/>
    <hyperlink r:id="rId29" ref="A30"/>
    <hyperlink r:id="rId30" ref="A31"/>
    <hyperlink r:id="rId31" location=":~:text=Avantages%20et%20inconv%C3%A9nients%20per%C3%A7us%20par%20les%20utilisateurs,bon%20rapport%20qualit%C3%A9/accompagnement%2C%20mais%20prix%20plus%20%C3%A9lev%C3%A9."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location=":~:text=V%C3%A9rifie%20que%20le%20logiciel%20que%20tu%20choisis,sont%20d%C3%A9j%C3%A0%20bien%20positionn%C3%A9s%20sur%20ce%20sujet."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location=":~:text=Tr%C3%A8s%20vite%2C%20elle%20est%20pl%C3%A9biscit%C3%A9e%20par%20les,l'attestation%2C%20d%C3%A9taille%20Alexandre%20Prot%2C%20cofondateur%20de%20Qonto." ref="A99"/>
    <hyperlink r:id="rId99" ref="A100"/>
    <hyperlink r:id="rId100" location=":~:text=Toutefois%2C%20les%20banques%20traditionnelles%20permettent%20une%20certaine,g%C3%A9n%C3%A9ralement%20d'une%20offre%20de%20services%20plus%20%C3%A9toff%C3%A9e."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location=":~:text=Vous%20l'attendiez%20toutes%20et%20tous%2C%20la%20voici,telle%20que%20visible%20sur%20le%20site%20impots.gouv.fr." ref="A133"/>
    <hyperlink r:id="rId133" ref="A134"/>
    <hyperlink r:id="rId134" ref="A135"/>
    <hyperlink r:id="rId135" ref="A136"/>
    <hyperlink r:id="rId136" ref="A137"/>
    <hyperlink r:id="rId137" location=":~:text=Il%20y%20a%20pr%C3%A8s%20d'une%20centaine%20de,pi%C3%A8ces%20n%C3%A9cessaires%20%C3%A0%20l'instruction%20de%20la%20demande."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location=":~:text=Il%20est%20ainsi%20possible%20d'ouvrir%20un%20compte,placements%20financiers%20que%20nous%20allons%20d%C3%A9taill%C3%A9s%20ci-dessous." ref="A574"/>
    <hyperlink r:id="rId574" ref="A575"/>
    <hyperlink r:id="rId575" location=":~:text=Notre%20verdict%20Vous%20avez%20besoin%20de%20financements,de%20taille%20importante%20avec%20des%20besoins%20complexes" ref="A576"/>
    <hyperlink r:id="rId576" ref="A577"/>
    <hyperlink r:id="rId577" location=":~:text=8%20/%20Blank%20Blank%2C%20%C3%A9galement%20filiale%20du,outils%20de%20gestion%20int%C3%A9gr%C3%A9s%20et%20des%20assurances." ref="A578"/>
    <hyperlink r:id="rId578" location=":~:text=Propulse%20by%20CA%20:%20La%20puissance%20d'une,%C3%80%20qui%20s'adresse%20Propulse%20by%20CA%20?" ref="A579"/>
    <hyperlink r:id="rId579" location=":~:text=Notre%20prodium%20des%20banques%20en%20ligne%20pour,robustesse%20et%20ses%20fonctionnalit%C3%A9s%20de%20gestion%20d'%C3%A9quipe." ref="A580"/>
    <hyperlink r:id="rId580" ref="A581"/>
    <hyperlink r:id="rId581" location=":~:text=Hello%20bank!%20Pro%20figure%20parmi%20les%20banques,int%C3%A9ressant%2C%20avec%20carte%20gratuite%20et%20sans%20:" ref="A582"/>
    <hyperlink r:id="rId582" location=":~:text=Les%20banques%20traditionnelles%20(BNP%20Paribas%2C%20Soci%C3%A9t%C3%A9%20G%C3%A9n%C3%A9rale%2C,%C3%A9lev%C3%A9s%20et%20des%20d%C3%A9marches%20administratives%20plus%20lourdes."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location=":~:text=%E2%9C%85%20Support%20client%20:%20un%20support%20r%C3%A9actif,crucial%20pour%20r%C3%A9soudre%20rapidement%20tout%20probl%C3%A8me%20technique." ref="A669"/>
    <hyperlink r:id="rId669" ref="A670"/>
    <hyperlink r:id="rId670" location=":~:text=Ces%20informations%20devront%20%C3%AAtre%20transmises%20p%C3%A9riodiquement%20%C3%A0,d%C3%A9pend%20du%20r%C3%A9gime%20choisi%20par%20l'entreprise%20:" ref="A671"/>
    <hyperlink r:id="rId671" location=":~:text=Elle%20doit%20comporter%20les%20m%C3%AAmes%20mentions%20obligatoires,(CII)%20le%20format%20Universal%20Business%20Language%20(UBL)" ref="A672"/>
    <hyperlink r:id="rId672" location=":~:text=Pourquoi%20parle-t-on%20autant%20d'interop%C3%A9rabilit%C3%A9%20dans%20ce%20contexte,via%20le%20Portail%20Public%20de%20Facturation%20(PPF)." ref="A673"/>
    <hyperlink r:id="rId673" location=":~:text=UX%20et%20ergonomie%20:%20un%20facteur%20de,main%20et%20r%C3%A9duit%20les%20besoins%20de%20support."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location=":~:text=L'horodatage%20qualifi%C3%A9%20eIDAS%20joue%20un%20r%C3%B4le%20cl%C3%A9,comme%20l'horodatage%20et%20le%20cachet%20%C3%A9lectronique%20qualifi%C3%A9s."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location=":~:text=1)%20Un%20acc%C3%A8s%20rapide%20et%20facile%20%C3%A0,sont%20%C3%A9galement%20disponibles%20sous%20forme%20d'applications%20mobiles." ref="A852"/>
    <hyperlink r:id="rId852" location=":~:text=Puis%2C%20en%20fonction%20de%20la%20taille%20de,au%201%E1%B5%89%CA%B3%20septembre%202027%20pour%20les%20TPE/PME2026." ref="A853"/>
    <hyperlink r:id="rId853" ref="A854"/>
    <hyperlink r:id="rId854" ref="A855"/>
    <hyperlink r:id="rId855" location=":~:text=Shine%20propose%20%C3%A9galement%20une%20solution%20aux%20soci%C3%A9t%C3%A9s,administratives%20et%20ainsi%20faciliter%20le%20processus%20:" ref="A856"/>
    <hyperlink r:id="rId856" location=":~:text=Souscrire%20un%20pack%20qui%20comprend%20le%20d%C3%A9p%C3%B4t,d'abonnement%20%C3%A0%20une%20offre%20bancaire%20de%20Qonto" ref="A857"/>
    <hyperlink r:id="rId857" ref="A858"/>
    <hyperlink r:id="rId858" ref="A859"/>
    <hyperlink r:id="rId859" ref="A860"/>
    <hyperlink r:id="rId860" ref="A861"/>
    <hyperlink r:id="rId861" ref="A862"/>
    <hyperlink r:id="rId862" ref="A863"/>
    <hyperlink r:id="rId863" ref="A864"/>
    <hyperlink r:id="rId864" location=":~:text=D%C3%A9j%C3%A0%20utilis%C3%A9e%20par%20de%20nombreuses%20TPE%20et,complexe%20pour%20un%20besoin%20strictement%20orient%C3%A9%20facturation."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location=":~:text=Bonne%20nouvelle%20!%20Il%20est%20maintenant%20possible,100%25%20gratuit%20!%20%F0%9F%94%A5%20Ouvrir%20mon%20compte." ref="A916"/>
    <hyperlink r:id="rId916" ref="A917"/>
    <hyperlink r:id="rId917" ref="A918"/>
    <hyperlink r:id="rId918" ref="A919"/>
    <hyperlink r:id="rId919" ref="A920"/>
    <hyperlink r:id="rId920" ref="A921"/>
    <hyperlink r:id="rId921" ref="A922"/>
    <hyperlink r:id="rId922" location=":~:text=%23%20Tableau%20comparatif%20des%20meilleures%20banques%20pro,et%200%2C80%20%25%20de%20commission)%20%7C%20%E2%9C%97" ref="A923"/>
    <hyperlink r:id="rId923" ref="A924"/>
    <hyperlink r:id="rId924" ref="A925"/>
    <hyperlink r:id="rId925" location=":~:text=Le%20Portail%20Public%20de%20Facturation%20(PPF)%20%C3%A9tait,appliquer%20la%20r%C3%A9forme%20de%20la%20facturation%20%C3%A9lectronique." ref="A926"/>
    <hyperlink r:id="rId926" ref="A927"/>
    <hyperlink r:id="rId927" ref="A928"/>
    <hyperlink r:id="rId928" ref="A929"/>
    <hyperlink r:id="rId929" ref="A930"/>
    <hyperlink r:id="rId930" ref="A931"/>
    <hyperlink r:id="rId931" ref="A932"/>
    <hyperlink r:id="rId932" location=":~:text=Son%20pack%20de%20cr%C3%A9ation%20d'entreprise%20(%C3%A0%20partir,pour%20les%20formalit%C3%A9s%20et%20l'obtention%20du%20Kbis." ref="A933"/>
    <hyperlink r:id="rId933" location=":~:text=-%20Si%20vous%20pratiquez%20une%20activit%C3%A9%20commerciale%2C,au%20Registre%20Sp%C3%A9cial%20des%20Agents%20Commerciaux%20(RSAC)."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location=":~:text=Gratuit%20:%20a%20g%C3%A9n%C3%A9ralement%20des%20fonctionnalit%C3%A9s%20limit%C3%A9es,et%20%C3%A9tablis%20selon%20les%20besoins%20de%20l'entreprise"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s>
  <drawing r:id="rId9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A1" s="1" t="s">
        <v>1101</v>
      </c>
      <c r="B1" s="1" t="s">
        <v>1102</v>
      </c>
      <c r="C1" s="1" t="s">
        <v>1103</v>
      </c>
      <c r="D1" s="1" t="s">
        <v>1104</v>
      </c>
      <c r="E1" s="1" t="s">
        <v>1105</v>
      </c>
      <c r="F1" s="1" t="s">
        <v>1106</v>
      </c>
      <c r="G1" s="1" t="s">
        <v>1107</v>
      </c>
      <c r="H1" s="1" t="s">
        <v>1108</v>
      </c>
      <c r="I1" s="1" t="s">
        <v>1109</v>
      </c>
      <c r="J1" s="1" t="s">
        <v>1110</v>
      </c>
      <c r="K1" s="1" t="s">
        <v>1111</v>
      </c>
      <c r="L1" s="1" t="s">
        <v>1112</v>
      </c>
      <c r="M1" s="1" t="s">
        <v>1113</v>
      </c>
      <c r="N1" s="1" t="s">
        <v>1114</v>
      </c>
      <c r="O1" s="1" t="s">
        <v>1115</v>
      </c>
      <c r="P1" s="1" t="s">
        <v>1116</v>
      </c>
      <c r="Q1" s="1" t="s">
        <v>1117</v>
      </c>
      <c r="R1" s="1" t="s">
        <v>1118</v>
      </c>
      <c r="S1" s="1" t="s">
        <v>1119</v>
      </c>
      <c r="T1" s="1" t="s">
        <v>1120</v>
      </c>
      <c r="U1" s="1" t="s">
        <v>1121</v>
      </c>
      <c r="V1" s="1" t="s">
        <v>1122</v>
      </c>
      <c r="W1" s="1" t="s">
        <v>1123</v>
      </c>
      <c r="X1" s="1" t="s">
        <v>1124</v>
      </c>
      <c r="Y1" s="1" t="s">
        <v>1125</v>
      </c>
      <c r="Z1" s="1" t="s">
        <v>1126</v>
      </c>
      <c r="AA1" s="1" t="s">
        <v>1127</v>
      </c>
      <c r="AB1" s="1" t="s">
        <v>1128</v>
      </c>
      <c r="AC1" s="1" t="s">
        <v>1129</v>
      </c>
      <c r="AD1" s="1" t="s">
        <v>1130</v>
      </c>
      <c r="AE1" s="1" t="s">
        <v>1131</v>
      </c>
      <c r="AF1" s="1" t="s">
        <v>1132</v>
      </c>
      <c r="AG1" s="1" t="s">
        <v>1133</v>
      </c>
      <c r="AH1" s="1" t="s">
        <v>1134</v>
      </c>
      <c r="AI1" s="1" t="s">
        <v>1135</v>
      </c>
      <c r="AJ1" s="1" t="s">
        <v>1136</v>
      </c>
      <c r="AK1" s="1" t="s">
        <v>1137</v>
      </c>
      <c r="AL1" s="1" t="s">
        <v>1138</v>
      </c>
      <c r="AM1" s="1" t="s">
        <v>1139</v>
      </c>
      <c r="AN1" s="1" t="s">
        <v>1140</v>
      </c>
      <c r="AO1" s="1" t="s">
        <v>1141</v>
      </c>
      <c r="AP1" s="1" t="s">
        <v>1142</v>
      </c>
      <c r="AQ1" s="1" t="s">
        <v>1143</v>
      </c>
      <c r="AR1" s="1" t="s">
        <v>1144</v>
      </c>
      <c r="AS1" s="1" t="s">
        <v>1145</v>
      </c>
      <c r="AT1" s="1" t="s">
        <v>1146</v>
      </c>
      <c r="AU1" s="1" t="s">
        <v>1147</v>
      </c>
      <c r="AV1" s="1" t="s">
        <v>1148</v>
      </c>
      <c r="AW1" s="1" t="s">
        <v>1149</v>
      </c>
      <c r="AX1" s="1" t="s">
        <v>1150</v>
      </c>
      <c r="AY1" s="1" t="s">
        <v>1151</v>
      </c>
      <c r="AZ1" s="1" t="s">
        <v>1152</v>
      </c>
      <c r="BA1" s="1" t="s">
        <v>1153</v>
      </c>
      <c r="BB1" s="1" t="s">
        <v>1154</v>
      </c>
      <c r="BC1" s="1" t="s">
        <v>1155</v>
      </c>
      <c r="BD1" s="1" t="s">
        <v>1156</v>
      </c>
      <c r="BE1" s="1" t="s">
        <v>1157</v>
      </c>
      <c r="BF1" s="1" t="s">
        <v>1158</v>
      </c>
      <c r="BG1" s="1" t="s">
        <v>1159</v>
      </c>
      <c r="BH1" s="1" t="s">
        <v>1160</v>
      </c>
      <c r="BI1" s="1" t="s">
        <v>1161</v>
      </c>
    </row>
    <row r="2">
      <c r="A2" s="3" t="s">
        <v>1162</v>
      </c>
      <c r="B2" s="1">
        <v>643.0</v>
      </c>
      <c r="C2" s="1" t="s">
        <v>1163</v>
      </c>
      <c r="D2" s="1">
        <v>5663.0</v>
      </c>
      <c r="E2" s="1">
        <v>182.0</v>
      </c>
      <c r="F2" s="1">
        <v>18.0</v>
      </c>
      <c r="G2" s="1">
        <v>28.0</v>
      </c>
      <c r="H2" s="1" t="s">
        <v>1164</v>
      </c>
      <c r="I2" s="1">
        <v>18.0</v>
      </c>
      <c r="J2" s="1">
        <v>79.0</v>
      </c>
      <c r="K2" s="1">
        <v>238.0</v>
      </c>
      <c r="L2" s="1">
        <v>3805.0</v>
      </c>
      <c r="M2" s="1">
        <v>1.0</v>
      </c>
      <c r="N2" s="1">
        <v>-1.0</v>
      </c>
      <c r="O2" s="1" t="s">
        <v>1165</v>
      </c>
      <c r="P2" s="1">
        <v>8740.0</v>
      </c>
      <c r="Q2" s="1">
        <v>134.0</v>
      </c>
      <c r="R2" s="1">
        <v>116.0</v>
      </c>
      <c r="S2" s="1">
        <v>0.0</v>
      </c>
      <c r="T2" s="1">
        <v>0.0</v>
      </c>
      <c r="U2" s="1" t="s">
        <v>1166</v>
      </c>
      <c r="V2" s="1" t="s">
        <v>1167</v>
      </c>
      <c r="W2" s="1">
        <v>36.0</v>
      </c>
      <c r="X2" s="1">
        <v>9063010.0</v>
      </c>
      <c r="Y2" s="1">
        <v>134.0</v>
      </c>
      <c r="Z2" s="1">
        <v>577.0</v>
      </c>
      <c r="AA2" s="1">
        <v>972.0</v>
      </c>
      <c r="AB2" s="1" t="s">
        <v>1166</v>
      </c>
      <c r="AC2" s="1">
        <v>0.0</v>
      </c>
      <c r="AD2" s="1">
        <v>0.0</v>
      </c>
      <c r="AE2" s="1">
        <v>0.0</v>
      </c>
      <c r="AF2" s="1">
        <v>0.0</v>
      </c>
      <c r="AG2" s="6">
        <v>45611.97659722222</v>
      </c>
      <c r="AH2" s="1">
        <v>-2.0</v>
      </c>
      <c r="AI2" s="1">
        <v>-2.0</v>
      </c>
      <c r="AJ2" s="1">
        <v>716.0</v>
      </c>
      <c r="AK2" s="1">
        <v>846.0</v>
      </c>
      <c r="AL2" s="1">
        <v>643.0</v>
      </c>
      <c r="AM2" s="1">
        <v>-2.0</v>
      </c>
      <c r="AN2" s="1">
        <v>-2.0</v>
      </c>
      <c r="AO2" s="1">
        <v>1001.0</v>
      </c>
      <c r="AP2" s="1">
        <v>-2.0</v>
      </c>
      <c r="AQ2" s="1">
        <v>1256.0</v>
      </c>
      <c r="AR2" s="1">
        <v>1150.0</v>
      </c>
      <c r="AS2" s="1">
        <v>-2.0</v>
      </c>
      <c r="AT2" s="1">
        <v>-2.0</v>
      </c>
      <c r="AU2" s="1">
        <v>-2.0</v>
      </c>
      <c r="AV2" s="1">
        <v>-2.0</v>
      </c>
      <c r="AW2" s="1">
        <v>-2.0</v>
      </c>
      <c r="AX2" s="1">
        <v>2142.0</v>
      </c>
      <c r="AY2" s="1">
        <v>960.0</v>
      </c>
      <c r="AZ2" s="1">
        <v>1164.0</v>
      </c>
      <c r="BA2" s="1">
        <v>-2.0</v>
      </c>
      <c r="BB2" s="1">
        <v>-2.0</v>
      </c>
      <c r="BC2" s="1">
        <v>-2.0</v>
      </c>
      <c r="BD2" s="1">
        <v>-2.0</v>
      </c>
      <c r="BE2" s="1">
        <v>-2.0</v>
      </c>
      <c r="BF2" s="1">
        <v>-2.0</v>
      </c>
      <c r="BG2" s="1">
        <v>-2.0</v>
      </c>
      <c r="BH2" s="1">
        <v>-2.0</v>
      </c>
      <c r="BI2" s="1">
        <v>-2.0</v>
      </c>
    </row>
    <row r="3">
      <c r="A3" s="3" t="s">
        <v>1168</v>
      </c>
      <c r="B3" s="1">
        <v>22.0</v>
      </c>
      <c r="C3" s="1" t="s">
        <v>1169</v>
      </c>
      <c r="D3" s="1">
        <v>2135.0</v>
      </c>
      <c r="E3" s="1">
        <v>404.0</v>
      </c>
      <c r="F3" s="1">
        <v>10.0</v>
      </c>
      <c r="G3" s="1">
        <v>31.0</v>
      </c>
      <c r="H3" s="1" t="s">
        <v>1170</v>
      </c>
      <c r="I3" s="1">
        <v>13.0</v>
      </c>
      <c r="J3" s="1">
        <v>59.0</v>
      </c>
      <c r="K3" s="1">
        <v>327.0</v>
      </c>
      <c r="L3" s="1">
        <v>1594.0</v>
      </c>
      <c r="M3" s="1">
        <v>0.0</v>
      </c>
      <c r="N3" s="1">
        <v>-1.0</v>
      </c>
      <c r="O3" s="1" t="s">
        <v>1171</v>
      </c>
      <c r="P3" s="1">
        <v>860.0</v>
      </c>
      <c r="Q3" s="1">
        <v>220.0</v>
      </c>
      <c r="R3" s="1">
        <v>139.0</v>
      </c>
      <c r="S3" s="1">
        <v>0.0</v>
      </c>
      <c r="T3" s="1">
        <v>0.0</v>
      </c>
      <c r="U3" s="1" t="s">
        <v>1167</v>
      </c>
      <c r="V3" s="1" t="s">
        <v>1172</v>
      </c>
      <c r="W3" s="1">
        <v>7.0</v>
      </c>
      <c r="X3" s="1">
        <v>1.2832016E7</v>
      </c>
      <c r="Y3" s="1">
        <v>41.0</v>
      </c>
      <c r="Z3" s="1">
        <v>46.0</v>
      </c>
      <c r="AA3" s="1">
        <v>48.0</v>
      </c>
      <c r="AB3" s="1" t="s">
        <v>1166</v>
      </c>
      <c r="AC3" s="1">
        <v>0.0</v>
      </c>
      <c r="AD3" s="1">
        <v>0.0</v>
      </c>
      <c r="AE3" s="1">
        <v>0.0</v>
      </c>
      <c r="AF3" s="1">
        <v>0.0</v>
      </c>
      <c r="AG3" s="6">
        <v>46003.09967592593</v>
      </c>
      <c r="AH3" s="1">
        <v>35.0</v>
      </c>
      <c r="AI3" s="1">
        <v>65.0</v>
      </c>
      <c r="AJ3" s="1">
        <v>-2.0</v>
      </c>
      <c r="AK3" s="1">
        <v>22.0</v>
      </c>
      <c r="AL3" s="1">
        <v>-2.0</v>
      </c>
      <c r="AM3" s="1">
        <v>-2.0</v>
      </c>
      <c r="AN3" s="1">
        <v>-2.0</v>
      </c>
      <c r="AO3" s="1">
        <v>31.0</v>
      </c>
      <c r="AP3" s="1">
        <v>50.0</v>
      </c>
      <c r="AQ3" s="1">
        <v>-2.0</v>
      </c>
      <c r="AR3" s="1">
        <v>-2.0</v>
      </c>
      <c r="AS3" s="1">
        <v>-2.0</v>
      </c>
      <c r="AT3" s="1">
        <v>-2.0</v>
      </c>
      <c r="AU3" s="1">
        <v>-2.0</v>
      </c>
      <c r="AV3" s="1">
        <v>-2.0</v>
      </c>
      <c r="AW3" s="1">
        <v>-2.0</v>
      </c>
      <c r="AX3" s="1">
        <v>-2.0</v>
      </c>
      <c r="AY3" s="1">
        <v>-2.0</v>
      </c>
      <c r="AZ3" s="1">
        <v>-2.0</v>
      </c>
      <c r="BA3" s="1">
        <v>-2.0</v>
      </c>
      <c r="BB3" s="1">
        <v>-2.0</v>
      </c>
      <c r="BC3" s="1">
        <v>-2.0</v>
      </c>
      <c r="BD3" s="1">
        <v>-2.0</v>
      </c>
      <c r="BE3" s="1">
        <v>-2.0</v>
      </c>
      <c r="BF3" s="1">
        <v>-2.0</v>
      </c>
      <c r="BG3" s="1">
        <v>-2.0</v>
      </c>
      <c r="BH3" s="1">
        <v>-2.0</v>
      </c>
      <c r="BI3" s="1">
        <v>-2.0</v>
      </c>
    </row>
    <row r="4">
      <c r="A4" s="3" t="s">
        <v>1173</v>
      </c>
      <c r="B4" s="1">
        <v>65.0</v>
      </c>
      <c r="C4" s="1" t="s">
        <v>1174</v>
      </c>
      <c r="D4" s="1">
        <v>668.0</v>
      </c>
      <c r="E4" s="1">
        <v>889.0</v>
      </c>
      <c r="F4" s="1">
        <v>18.0</v>
      </c>
      <c r="G4" s="1">
        <v>35.0</v>
      </c>
      <c r="H4" s="1" t="s">
        <v>1175</v>
      </c>
      <c r="I4" s="1">
        <v>55.0</v>
      </c>
      <c r="J4" s="1">
        <v>30.0</v>
      </c>
      <c r="K4" s="1">
        <v>171.0</v>
      </c>
      <c r="L4" s="1">
        <v>201.0</v>
      </c>
      <c r="M4" s="1">
        <v>1.0</v>
      </c>
      <c r="N4" s="1">
        <v>-1.0</v>
      </c>
      <c r="O4" s="1" t="s">
        <v>1176</v>
      </c>
      <c r="P4" s="1">
        <v>8454.0</v>
      </c>
      <c r="Q4" s="1">
        <v>460.0</v>
      </c>
      <c r="R4" s="1">
        <v>342.0</v>
      </c>
      <c r="S4" s="1">
        <v>6.0</v>
      </c>
      <c r="T4" s="1">
        <v>0.0</v>
      </c>
      <c r="U4" s="1" t="s">
        <v>1167</v>
      </c>
      <c r="V4" s="1" t="s">
        <v>1177</v>
      </c>
      <c r="W4" s="1">
        <v>18.0</v>
      </c>
      <c r="X4" s="1">
        <v>427434.0</v>
      </c>
      <c r="Y4" s="1">
        <v>70.0</v>
      </c>
      <c r="Z4" s="1">
        <v>825.0</v>
      </c>
      <c r="AA4" s="1">
        <v>1211.0</v>
      </c>
      <c r="AB4" s="1" t="s">
        <v>1166</v>
      </c>
      <c r="AC4" s="1">
        <v>0.0</v>
      </c>
      <c r="AD4" s="1">
        <v>0.0</v>
      </c>
      <c r="AE4" s="1">
        <v>0.0</v>
      </c>
      <c r="AF4" s="1">
        <v>0.0</v>
      </c>
      <c r="AG4" s="6">
        <v>45611.97703703704</v>
      </c>
      <c r="AH4" s="1">
        <v>65.0</v>
      </c>
      <c r="AI4" s="1">
        <v>259.0</v>
      </c>
      <c r="AJ4" s="1">
        <v>182.0</v>
      </c>
      <c r="AK4" s="1">
        <v>357.0</v>
      </c>
      <c r="AL4" s="1">
        <v>-2.0</v>
      </c>
      <c r="AM4" s="1">
        <v>-2.0</v>
      </c>
      <c r="AN4" s="1">
        <v>-2.0</v>
      </c>
      <c r="AO4" s="1">
        <v>358.0</v>
      </c>
      <c r="AP4" s="1">
        <v>269.0</v>
      </c>
      <c r="AQ4" s="1">
        <v>1405.0</v>
      </c>
      <c r="AR4" s="1">
        <v>-2.0</v>
      </c>
      <c r="AS4" s="1">
        <v>405.0</v>
      </c>
      <c r="AT4" s="1">
        <v>-2.0</v>
      </c>
      <c r="AU4" s="1">
        <v>-2.0</v>
      </c>
      <c r="AV4" s="1">
        <v>340.0</v>
      </c>
      <c r="AW4" s="1">
        <v>-2.0</v>
      </c>
      <c r="AX4" s="1">
        <v>794.0</v>
      </c>
      <c r="AY4" s="1">
        <v>466.0</v>
      </c>
      <c r="AZ4" s="1">
        <v>415.0</v>
      </c>
      <c r="BA4" s="1">
        <v>744.0</v>
      </c>
      <c r="BB4" s="1">
        <v>495.0</v>
      </c>
      <c r="BC4" s="1">
        <v>700.0</v>
      </c>
      <c r="BD4" s="1">
        <v>612.0</v>
      </c>
      <c r="BE4" s="1">
        <v>-2.0</v>
      </c>
      <c r="BF4" s="1">
        <v>275.0</v>
      </c>
      <c r="BG4" s="1">
        <v>-2.0</v>
      </c>
      <c r="BH4" s="1">
        <v>672.0</v>
      </c>
      <c r="BI4" s="1">
        <v>545.0</v>
      </c>
    </row>
    <row r="5">
      <c r="A5" s="3" t="s">
        <v>1178</v>
      </c>
      <c r="B5" s="1">
        <v>257.0</v>
      </c>
      <c r="C5" s="1" t="s">
        <v>1174</v>
      </c>
      <c r="D5" s="1">
        <v>24483.0</v>
      </c>
      <c r="E5" s="1">
        <v>1254.0</v>
      </c>
      <c r="F5" s="1">
        <v>18.0</v>
      </c>
      <c r="G5" s="1">
        <v>36.0</v>
      </c>
      <c r="H5" s="1" t="s">
        <v>1179</v>
      </c>
      <c r="I5" s="1">
        <v>67.0</v>
      </c>
      <c r="J5" s="1">
        <v>123.0</v>
      </c>
      <c r="K5" s="1">
        <v>615.0</v>
      </c>
      <c r="L5" s="1">
        <v>3036.0</v>
      </c>
      <c r="M5" s="1">
        <v>0.0</v>
      </c>
      <c r="N5" s="1">
        <v>-1.0</v>
      </c>
      <c r="O5" s="1" t="s">
        <v>1180</v>
      </c>
      <c r="P5" s="1">
        <v>80292.0</v>
      </c>
      <c r="Q5" s="1">
        <v>722.0</v>
      </c>
      <c r="R5" s="1">
        <v>496.0</v>
      </c>
      <c r="S5" s="1">
        <v>9.0</v>
      </c>
      <c r="T5" s="1">
        <v>2.0</v>
      </c>
      <c r="U5" s="1" t="s">
        <v>1167</v>
      </c>
      <c r="V5" s="1" t="s">
        <v>1167</v>
      </c>
      <c r="W5" s="1">
        <v>14.0</v>
      </c>
      <c r="X5" s="1">
        <v>148471.0</v>
      </c>
      <c r="Y5" s="1">
        <v>149.0</v>
      </c>
      <c r="Z5" s="1">
        <v>846.0</v>
      </c>
      <c r="AA5" s="1">
        <v>1374.0</v>
      </c>
      <c r="AB5" s="1" t="s">
        <v>1166</v>
      </c>
      <c r="AC5" s="1">
        <v>30.0</v>
      </c>
      <c r="AD5" s="1">
        <v>40.0</v>
      </c>
      <c r="AE5" s="1">
        <v>31.0</v>
      </c>
      <c r="AF5" s="1">
        <v>32.0</v>
      </c>
      <c r="AG5" s="6">
        <v>45611.977002314816</v>
      </c>
      <c r="AH5" s="1">
        <v>257.0</v>
      </c>
      <c r="AI5" s="1">
        <v>259.0</v>
      </c>
      <c r="AJ5" s="1">
        <v>288.0</v>
      </c>
      <c r="AK5" s="1">
        <v>343.0</v>
      </c>
      <c r="AL5" s="1">
        <v>339.0</v>
      </c>
      <c r="AM5" s="1">
        <v>-2.0</v>
      </c>
      <c r="AN5" s="1">
        <v>569.0</v>
      </c>
      <c r="AO5" s="1">
        <v>353.0</v>
      </c>
      <c r="AP5" s="1">
        <v>344.0</v>
      </c>
      <c r="AQ5" s="1">
        <v>-2.0</v>
      </c>
      <c r="AR5" s="1">
        <v>470.0</v>
      </c>
      <c r="AS5" s="1">
        <v>279.0</v>
      </c>
      <c r="AT5" s="1">
        <v>-2.0</v>
      </c>
      <c r="AU5" s="1">
        <v>358.0</v>
      </c>
      <c r="AV5" s="1">
        <v>386.0</v>
      </c>
      <c r="AW5" s="1">
        <v>-2.0</v>
      </c>
      <c r="AX5" s="1">
        <v>-2.0</v>
      </c>
      <c r="AY5" s="1">
        <v>380.0</v>
      </c>
      <c r="AZ5" s="1">
        <v>321.0</v>
      </c>
      <c r="BA5" s="1">
        <v>688.0</v>
      </c>
      <c r="BB5" s="1">
        <v>540.0</v>
      </c>
      <c r="BC5" s="1">
        <v>930.0</v>
      </c>
      <c r="BD5" s="1">
        <v>-2.0</v>
      </c>
      <c r="BE5" s="1">
        <v>-2.0</v>
      </c>
      <c r="BF5" s="1">
        <v>-2.0</v>
      </c>
      <c r="BG5" s="1">
        <v>-2.0</v>
      </c>
      <c r="BH5" s="1">
        <v>760.0</v>
      </c>
      <c r="BI5" s="1">
        <v>-2.0</v>
      </c>
    </row>
    <row r="6">
      <c r="A6" s="3" t="s">
        <v>1181</v>
      </c>
      <c r="B6" s="1">
        <v>39.0</v>
      </c>
      <c r="C6" s="1" t="s">
        <v>1182</v>
      </c>
      <c r="D6" s="1">
        <v>35.0</v>
      </c>
      <c r="E6" s="1">
        <v>19.0</v>
      </c>
      <c r="F6" s="1">
        <v>7.0</v>
      </c>
      <c r="G6" s="1">
        <v>21.0</v>
      </c>
      <c r="H6" s="1" t="s">
        <v>1183</v>
      </c>
      <c r="I6" s="1">
        <v>3.0</v>
      </c>
      <c r="J6" s="1">
        <v>0.0</v>
      </c>
      <c r="K6" s="1">
        <v>8.0</v>
      </c>
      <c r="L6" s="1">
        <v>33.0</v>
      </c>
      <c r="M6" s="1">
        <v>0.0</v>
      </c>
      <c r="N6" s="1">
        <v>-1.0</v>
      </c>
      <c r="O6" s="1" t="s">
        <v>1184</v>
      </c>
      <c r="P6" s="1">
        <v>21.0</v>
      </c>
      <c r="Q6" s="1">
        <v>15.0</v>
      </c>
      <c r="R6" s="1">
        <v>15.0</v>
      </c>
      <c r="S6" s="1">
        <v>0.0</v>
      </c>
      <c r="T6" s="1">
        <v>0.0</v>
      </c>
      <c r="U6" s="1" t="s">
        <v>1167</v>
      </c>
      <c r="V6" s="1" t="s">
        <v>1185</v>
      </c>
      <c r="W6" s="1">
        <v>4.0</v>
      </c>
      <c r="X6" s="1">
        <v>3.2897212E7</v>
      </c>
      <c r="Y6" s="1">
        <v>2.0</v>
      </c>
      <c r="Z6" s="1">
        <v>5.0</v>
      </c>
      <c r="AA6" s="1">
        <v>17.0</v>
      </c>
      <c r="AB6" s="1" t="s">
        <v>1166</v>
      </c>
      <c r="AC6" s="1">
        <v>0.0</v>
      </c>
      <c r="AD6" s="1">
        <v>0.0</v>
      </c>
      <c r="AE6" s="1">
        <v>0.0</v>
      </c>
      <c r="AF6" s="1">
        <v>0.0</v>
      </c>
      <c r="AG6" s="6">
        <v>46036.13741898148</v>
      </c>
      <c r="AH6" s="1">
        <v>-2.0</v>
      </c>
      <c r="AI6" s="1">
        <v>-2.0</v>
      </c>
      <c r="AJ6" s="1">
        <v>39.0</v>
      </c>
      <c r="AK6" s="1">
        <v>-2.0</v>
      </c>
      <c r="AL6" s="1">
        <v>-2.0</v>
      </c>
      <c r="AM6" s="1">
        <v>-2.0</v>
      </c>
      <c r="AN6" s="1">
        <v>-2.0</v>
      </c>
      <c r="AO6" s="1">
        <v>-2.0</v>
      </c>
      <c r="AP6" s="1">
        <v>47.0</v>
      </c>
      <c r="AQ6" s="1">
        <v>-2.0</v>
      </c>
      <c r="AR6" s="1">
        <v>-2.0</v>
      </c>
      <c r="AS6" s="1">
        <v>-2.0</v>
      </c>
      <c r="AT6" s="1">
        <v>-2.0</v>
      </c>
      <c r="AU6" s="1">
        <v>-2.0</v>
      </c>
      <c r="AV6" s="1">
        <v>-2.0</v>
      </c>
      <c r="AW6" s="1">
        <v>-2.0</v>
      </c>
      <c r="AX6" s="1">
        <v>-2.0</v>
      </c>
      <c r="AY6" s="1">
        <v>-2.0</v>
      </c>
      <c r="AZ6" s="1">
        <v>-2.0</v>
      </c>
      <c r="BA6" s="1">
        <v>-2.0</v>
      </c>
      <c r="BB6" s="1">
        <v>-2.0</v>
      </c>
      <c r="BC6" s="1">
        <v>-2.0</v>
      </c>
      <c r="BD6" s="1">
        <v>-2.0</v>
      </c>
      <c r="BE6" s="1">
        <v>-2.0</v>
      </c>
      <c r="BF6" s="1">
        <v>-2.0</v>
      </c>
      <c r="BG6" s="1">
        <v>-2.0</v>
      </c>
      <c r="BH6" s="1">
        <v>-2.0</v>
      </c>
      <c r="BI6" s="1">
        <v>-2.0</v>
      </c>
    </row>
    <row r="7">
      <c r="A7" s="3" t="s">
        <v>1186</v>
      </c>
      <c r="B7" s="1">
        <v>2482.0</v>
      </c>
      <c r="C7" s="1" t="s">
        <v>1187</v>
      </c>
      <c r="D7" s="1">
        <v>128274.0</v>
      </c>
      <c r="E7" s="1">
        <v>3403.0</v>
      </c>
      <c r="F7" s="1">
        <v>39.0</v>
      </c>
      <c r="G7" s="1">
        <v>59.0</v>
      </c>
      <c r="H7" s="1" t="s">
        <v>1188</v>
      </c>
      <c r="I7" s="1">
        <v>73.0</v>
      </c>
      <c r="J7" s="1">
        <v>4198.0</v>
      </c>
      <c r="K7" s="1">
        <v>8635.0</v>
      </c>
      <c r="L7" s="1">
        <v>115863.0</v>
      </c>
      <c r="M7" s="1">
        <v>1.0</v>
      </c>
      <c r="N7" s="1">
        <v>-1.0</v>
      </c>
      <c r="O7" s="1" t="s">
        <v>1189</v>
      </c>
      <c r="P7" s="1">
        <v>657750.0</v>
      </c>
      <c r="Q7" s="1">
        <v>1948.0</v>
      </c>
      <c r="R7" s="1">
        <v>1042.0</v>
      </c>
      <c r="S7" s="1">
        <v>5.0</v>
      </c>
      <c r="T7" s="1">
        <v>0.0</v>
      </c>
      <c r="U7" s="1" t="s">
        <v>1167</v>
      </c>
      <c r="V7" s="1" t="s">
        <v>1190</v>
      </c>
      <c r="W7" s="1">
        <v>24.0</v>
      </c>
      <c r="X7" s="1">
        <v>61290.0</v>
      </c>
      <c r="Y7" s="1">
        <v>1937.0</v>
      </c>
      <c r="Z7" s="1">
        <v>2865.0</v>
      </c>
      <c r="AA7" s="1">
        <v>2045.0</v>
      </c>
      <c r="AB7" s="1" t="s">
        <v>1166</v>
      </c>
      <c r="AC7" s="1">
        <v>53.0</v>
      </c>
      <c r="AD7" s="1">
        <v>62.0</v>
      </c>
      <c r="AE7" s="1">
        <v>129.0</v>
      </c>
      <c r="AF7" s="1">
        <v>33.0</v>
      </c>
      <c r="AG7" s="6">
        <v>45611.988703703704</v>
      </c>
      <c r="AH7" s="1">
        <v>-2.0</v>
      </c>
      <c r="AI7" s="1">
        <v>-2.0</v>
      </c>
      <c r="AJ7" s="1">
        <v>-2.0</v>
      </c>
      <c r="AK7" s="1">
        <v>-2.0</v>
      </c>
      <c r="AL7" s="1">
        <v>-2.0</v>
      </c>
      <c r="AM7" s="1">
        <v>-2.0</v>
      </c>
      <c r="AN7" s="1">
        <v>-2.0</v>
      </c>
      <c r="AO7" s="1">
        <v>2482.0</v>
      </c>
      <c r="AP7" s="1">
        <v>-2.0</v>
      </c>
      <c r="AQ7" s="1">
        <v>-2.0</v>
      </c>
      <c r="AR7" s="1">
        <v>-2.0</v>
      </c>
      <c r="AS7" s="1">
        <v>-2.0</v>
      </c>
      <c r="AT7" s="1">
        <v>-2.0</v>
      </c>
      <c r="AU7" s="1">
        <v>-2.0</v>
      </c>
      <c r="AV7" s="1">
        <v>-2.0</v>
      </c>
      <c r="AW7" s="1">
        <v>-2.0</v>
      </c>
      <c r="AX7" s="1">
        <v>-2.0</v>
      </c>
      <c r="AY7" s="1">
        <v>2591.0</v>
      </c>
      <c r="AZ7" s="1">
        <v>-2.0</v>
      </c>
      <c r="BA7" s="1">
        <v>-2.0</v>
      </c>
      <c r="BB7" s="1">
        <v>-2.0</v>
      </c>
      <c r="BC7" s="1">
        <v>-2.0</v>
      </c>
      <c r="BD7" s="1">
        <v>-2.0</v>
      </c>
      <c r="BE7" s="1">
        <v>-2.0</v>
      </c>
      <c r="BF7" s="1">
        <v>-2.0</v>
      </c>
      <c r="BG7" s="1">
        <v>-2.0</v>
      </c>
      <c r="BH7" s="1">
        <v>-2.0</v>
      </c>
      <c r="BI7" s="1">
        <v>-2.0</v>
      </c>
    </row>
    <row r="8">
      <c r="A8" s="3" t="s">
        <v>1191</v>
      </c>
      <c r="B8" s="1">
        <v>136.0</v>
      </c>
      <c r="C8" s="1" t="s">
        <v>1192</v>
      </c>
      <c r="D8" s="1">
        <v>178.0</v>
      </c>
      <c r="E8" s="1">
        <v>753.0</v>
      </c>
      <c r="F8" s="1">
        <v>30.0</v>
      </c>
      <c r="G8" s="1">
        <v>38.0</v>
      </c>
      <c r="H8" s="1" t="s">
        <v>1193</v>
      </c>
      <c r="I8" s="1">
        <v>40.0</v>
      </c>
      <c r="J8" s="1">
        <v>6.0</v>
      </c>
      <c r="K8" s="1">
        <v>78.0</v>
      </c>
      <c r="L8" s="1">
        <v>41.0</v>
      </c>
      <c r="M8" s="1">
        <v>0.0</v>
      </c>
      <c r="N8" s="1">
        <v>-1.0</v>
      </c>
      <c r="O8" s="1" t="s">
        <v>1194</v>
      </c>
      <c r="P8" s="1">
        <v>8880.0</v>
      </c>
      <c r="Q8" s="1">
        <v>457.0</v>
      </c>
      <c r="R8" s="1">
        <v>359.0</v>
      </c>
      <c r="S8" s="1">
        <v>2.0</v>
      </c>
      <c r="T8" s="1">
        <v>0.0</v>
      </c>
      <c r="U8" s="1" t="s">
        <v>1166</v>
      </c>
      <c r="V8" s="1" t="s">
        <v>1195</v>
      </c>
      <c r="W8" s="1">
        <v>14.0</v>
      </c>
      <c r="X8" s="1">
        <v>1537877.0</v>
      </c>
      <c r="Y8" s="1">
        <v>22.0</v>
      </c>
      <c r="Z8" s="1">
        <v>81.0</v>
      </c>
      <c r="AA8" s="1">
        <v>144.0</v>
      </c>
      <c r="AB8" s="1" t="s">
        <v>1166</v>
      </c>
      <c r="AC8" s="1">
        <v>0.0</v>
      </c>
      <c r="AD8" s="1">
        <v>0.0</v>
      </c>
      <c r="AE8" s="1">
        <v>0.0</v>
      </c>
      <c r="AF8" s="1">
        <v>0.0</v>
      </c>
      <c r="AG8" s="6">
        <v>45611.97709490741</v>
      </c>
      <c r="AH8" s="1">
        <v>139.0</v>
      </c>
      <c r="AI8" s="1">
        <v>181.0</v>
      </c>
      <c r="AJ8" s="1">
        <v>236.0</v>
      </c>
      <c r="AK8" s="1">
        <v>180.0</v>
      </c>
      <c r="AL8" s="1">
        <v>-2.0</v>
      </c>
      <c r="AM8" s="1">
        <v>-2.0</v>
      </c>
      <c r="AN8" s="1">
        <v>136.0</v>
      </c>
      <c r="AO8" s="1">
        <v>199.0</v>
      </c>
      <c r="AP8" s="1">
        <v>181.0</v>
      </c>
      <c r="AQ8" s="1">
        <v>218.0</v>
      </c>
      <c r="AR8" s="1">
        <v>-2.0</v>
      </c>
      <c r="AS8" s="1">
        <v>161.0</v>
      </c>
      <c r="AT8" s="1">
        <v>-2.0</v>
      </c>
      <c r="AU8" s="1">
        <v>209.0</v>
      </c>
      <c r="AV8" s="1">
        <v>290.0</v>
      </c>
      <c r="AW8" s="1">
        <v>-2.0</v>
      </c>
      <c r="AX8" s="1">
        <v>298.0</v>
      </c>
      <c r="AY8" s="1">
        <v>252.0</v>
      </c>
      <c r="AZ8" s="1">
        <v>293.0</v>
      </c>
      <c r="BA8" s="1">
        <v>311.0</v>
      </c>
      <c r="BB8" s="1">
        <v>320.0</v>
      </c>
      <c r="BC8" s="1">
        <v>290.0</v>
      </c>
      <c r="BD8" s="1">
        <v>-2.0</v>
      </c>
      <c r="BE8" s="1">
        <v>221.0</v>
      </c>
      <c r="BF8" s="1">
        <v>170.0</v>
      </c>
      <c r="BG8" s="1">
        <v>259.0</v>
      </c>
      <c r="BH8" s="1">
        <v>258.0</v>
      </c>
      <c r="BI8" s="1">
        <v>235.0</v>
      </c>
    </row>
    <row r="9">
      <c r="A9" s="3" t="s">
        <v>1196</v>
      </c>
      <c r="B9" s="1">
        <v>448.0</v>
      </c>
      <c r="C9" s="1" t="s">
        <v>1197</v>
      </c>
      <c r="D9" s="1">
        <v>62278.0</v>
      </c>
      <c r="E9" s="1">
        <v>2274.0</v>
      </c>
      <c r="F9" s="1">
        <v>27.0</v>
      </c>
      <c r="G9" s="1">
        <v>39.0</v>
      </c>
      <c r="H9" s="1" t="s">
        <v>1193</v>
      </c>
      <c r="I9" s="1">
        <v>73.0</v>
      </c>
      <c r="J9" s="1">
        <v>3285.0</v>
      </c>
      <c r="K9" s="1">
        <v>21369.0</v>
      </c>
      <c r="L9" s="1">
        <v>4202.0</v>
      </c>
      <c r="M9" s="1">
        <v>0.0</v>
      </c>
      <c r="N9" s="1">
        <v>-1.0</v>
      </c>
      <c r="O9" s="1" t="s">
        <v>1198</v>
      </c>
      <c r="P9" s="1">
        <v>31821.0</v>
      </c>
      <c r="Q9" s="1">
        <v>1390.0</v>
      </c>
      <c r="R9" s="1">
        <v>768.0</v>
      </c>
      <c r="S9" s="1">
        <v>3.0</v>
      </c>
      <c r="T9" s="1">
        <v>0.0</v>
      </c>
      <c r="U9" s="1" t="s">
        <v>1167</v>
      </c>
      <c r="V9" s="1" t="s">
        <v>1199</v>
      </c>
      <c r="W9" s="1">
        <v>17.0</v>
      </c>
      <c r="X9" s="1">
        <v>60390.0</v>
      </c>
      <c r="Y9" s="1">
        <v>3128.0</v>
      </c>
      <c r="Z9" s="1">
        <v>7114.0</v>
      </c>
      <c r="AA9" s="1">
        <v>5904.0</v>
      </c>
      <c r="AB9" s="1" t="s">
        <v>1166</v>
      </c>
      <c r="AC9" s="1">
        <v>392.0</v>
      </c>
      <c r="AD9" s="1">
        <v>542.0</v>
      </c>
      <c r="AE9" s="1">
        <v>848.0</v>
      </c>
      <c r="AF9" s="1">
        <v>868.0</v>
      </c>
      <c r="AG9" s="6">
        <v>45808.13260416667</v>
      </c>
      <c r="AH9" s="1">
        <v>-2.0</v>
      </c>
      <c r="AI9" s="1">
        <v>448.0</v>
      </c>
      <c r="AJ9" s="1">
        <v>-2.0</v>
      </c>
      <c r="AK9" s="1">
        <v>449.0</v>
      </c>
      <c r="AL9" s="1">
        <v>-2.0</v>
      </c>
      <c r="AM9" s="1">
        <v>-2.0</v>
      </c>
      <c r="AN9" s="1">
        <v>-2.0</v>
      </c>
      <c r="AO9" s="1">
        <v>585.0</v>
      </c>
      <c r="AP9" s="1">
        <v>-2.0</v>
      </c>
      <c r="AQ9" s="1">
        <v>-2.0</v>
      </c>
      <c r="AR9" s="1">
        <v>-2.0</v>
      </c>
      <c r="AS9" s="1">
        <v>-2.0</v>
      </c>
      <c r="AT9" s="1">
        <v>-2.0</v>
      </c>
      <c r="AU9" s="1">
        <v>-2.0</v>
      </c>
      <c r="AV9" s="1">
        <v>-2.0</v>
      </c>
      <c r="AW9" s="1">
        <v>-2.0</v>
      </c>
      <c r="AX9" s="1">
        <v>-2.0</v>
      </c>
      <c r="AY9" s="1">
        <v>-2.0</v>
      </c>
      <c r="AZ9" s="1">
        <v>-2.0</v>
      </c>
      <c r="BA9" s="1">
        <v>-2.0</v>
      </c>
      <c r="BB9" s="1">
        <v>820.0</v>
      </c>
      <c r="BC9" s="1">
        <v>-2.0</v>
      </c>
      <c r="BD9" s="1">
        <v>-2.0</v>
      </c>
      <c r="BE9" s="1">
        <v>-2.0</v>
      </c>
      <c r="BF9" s="1">
        <v>-2.0</v>
      </c>
      <c r="BG9" s="1">
        <v>-2.0</v>
      </c>
      <c r="BH9" s="1">
        <v>-2.0</v>
      </c>
      <c r="BI9" s="1">
        <v>-2.0</v>
      </c>
    </row>
    <row r="10">
      <c r="A10" s="3" t="s">
        <v>1200</v>
      </c>
      <c r="B10" s="1">
        <v>447.0</v>
      </c>
      <c r="C10" s="1" t="s">
        <v>1187</v>
      </c>
      <c r="D10" s="1">
        <v>0.0</v>
      </c>
      <c r="E10" s="1">
        <v>31.0</v>
      </c>
      <c r="F10" s="1">
        <v>5.0</v>
      </c>
      <c r="G10" s="1">
        <v>13.0</v>
      </c>
      <c r="H10" s="1" t="s">
        <v>1201</v>
      </c>
      <c r="I10" s="1">
        <v>3.0</v>
      </c>
      <c r="J10" s="1">
        <v>0.0</v>
      </c>
      <c r="K10" s="1">
        <v>0.0</v>
      </c>
      <c r="L10" s="1">
        <v>0.0</v>
      </c>
      <c r="M10" s="1">
        <v>0.0</v>
      </c>
      <c r="N10" s="1">
        <v>-1.0</v>
      </c>
      <c r="P10" s="1">
        <v>83.0</v>
      </c>
      <c r="Q10" s="1">
        <v>24.0</v>
      </c>
      <c r="R10" s="1">
        <v>24.0</v>
      </c>
      <c r="S10" s="1">
        <v>0.0</v>
      </c>
      <c r="T10" s="1">
        <v>0.0</v>
      </c>
      <c r="U10" s="1" t="s">
        <v>1166</v>
      </c>
      <c r="V10" s="1" t="s">
        <v>1167</v>
      </c>
      <c r="W10" s="1">
        <v>0.0</v>
      </c>
      <c r="X10" s="1">
        <v>3.490838E7</v>
      </c>
      <c r="Y10" s="1">
        <v>0.0</v>
      </c>
      <c r="Z10" s="1">
        <v>0.0</v>
      </c>
      <c r="AA10" s="1">
        <v>0.0</v>
      </c>
      <c r="AC10" s="1">
        <v>0.0</v>
      </c>
      <c r="AD10" s="1">
        <v>0.0</v>
      </c>
      <c r="AE10" s="1">
        <v>0.0</v>
      </c>
      <c r="AF10" s="1">
        <v>0.0</v>
      </c>
      <c r="AG10" s="6">
        <v>46120.13413194445</v>
      </c>
      <c r="AH10" s="1">
        <v>-2.0</v>
      </c>
      <c r="AI10" s="1">
        <v>-2.0</v>
      </c>
      <c r="AJ10" s="1">
        <v>-2.0</v>
      </c>
      <c r="AK10" s="1">
        <v>-2.0</v>
      </c>
      <c r="AL10" s="1">
        <v>-2.0</v>
      </c>
      <c r="AM10" s="1">
        <v>-2.0</v>
      </c>
      <c r="AN10" s="1">
        <v>-2.0</v>
      </c>
      <c r="AO10" s="1">
        <v>447.0</v>
      </c>
      <c r="AP10" s="1">
        <v>-2.0</v>
      </c>
      <c r="AQ10" s="1">
        <v>-2.0</v>
      </c>
      <c r="AR10" s="1">
        <v>-2.0</v>
      </c>
      <c r="AS10" s="1">
        <v>-2.0</v>
      </c>
      <c r="AT10" s="1">
        <v>-2.0</v>
      </c>
      <c r="AU10" s="1">
        <v>-2.0</v>
      </c>
      <c r="AV10" s="1">
        <v>-2.0</v>
      </c>
      <c r="AW10" s="1">
        <v>-2.0</v>
      </c>
      <c r="AX10" s="1">
        <v>-2.0</v>
      </c>
      <c r="AY10" s="1">
        <v>-2.0</v>
      </c>
      <c r="AZ10" s="1">
        <v>-2.0</v>
      </c>
      <c r="BA10" s="1">
        <v>-2.0</v>
      </c>
      <c r="BB10" s="1">
        <v>-2.0</v>
      </c>
      <c r="BC10" s="1">
        <v>-2.0</v>
      </c>
      <c r="BD10" s="1">
        <v>-2.0</v>
      </c>
      <c r="BE10" s="1">
        <v>-2.0</v>
      </c>
      <c r="BF10" s="1">
        <v>-2.0</v>
      </c>
      <c r="BG10" s="1">
        <v>-2.0</v>
      </c>
      <c r="BH10" s="1">
        <v>-2.0</v>
      </c>
      <c r="BI10" s="1">
        <v>-2.0</v>
      </c>
    </row>
    <row r="11">
      <c r="A11" s="3" t="s">
        <v>1202</v>
      </c>
      <c r="B11" s="1">
        <v>1042.0</v>
      </c>
      <c r="C11" s="1" t="s">
        <v>1182</v>
      </c>
      <c r="D11" s="1">
        <v>7945.0</v>
      </c>
      <c r="E11" s="1">
        <v>1583.0</v>
      </c>
      <c r="F11" s="1">
        <v>32.0</v>
      </c>
      <c r="G11" s="1">
        <v>46.0</v>
      </c>
      <c r="H11" s="1" t="s">
        <v>1203</v>
      </c>
      <c r="I11" s="1">
        <v>71.0</v>
      </c>
      <c r="J11" s="1">
        <v>110.0</v>
      </c>
      <c r="K11" s="1">
        <v>610.0</v>
      </c>
      <c r="L11" s="1">
        <v>4623.0</v>
      </c>
      <c r="M11" s="1">
        <v>1.0</v>
      </c>
      <c r="N11" s="1">
        <v>-1.0</v>
      </c>
      <c r="O11" s="1" t="s">
        <v>1204</v>
      </c>
      <c r="P11" s="1">
        <v>155743.0</v>
      </c>
      <c r="Q11" s="1">
        <v>1056.0</v>
      </c>
      <c r="R11" s="1">
        <v>805.0</v>
      </c>
      <c r="S11" s="1">
        <v>5.0</v>
      </c>
      <c r="T11" s="1">
        <v>0.0</v>
      </c>
      <c r="U11" s="1" t="s">
        <v>1167</v>
      </c>
      <c r="V11" s="1" t="s">
        <v>1205</v>
      </c>
      <c r="W11" s="1">
        <v>17.0</v>
      </c>
      <c r="X11" s="1">
        <v>79707.0</v>
      </c>
      <c r="Y11" s="1">
        <v>187.0</v>
      </c>
      <c r="Z11" s="1">
        <v>322.0</v>
      </c>
      <c r="AA11" s="1">
        <v>516.0</v>
      </c>
      <c r="AB11" s="1" t="s">
        <v>1166</v>
      </c>
      <c r="AC11" s="1">
        <v>0.0</v>
      </c>
      <c r="AD11" s="1">
        <v>0.0</v>
      </c>
      <c r="AE11" s="1">
        <v>0.0</v>
      </c>
      <c r="AF11" s="1">
        <v>0.0</v>
      </c>
      <c r="AG11" s="6">
        <v>45611.97828703704</v>
      </c>
      <c r="AH11" s="1">
        <v>-2.0</v>
      </c>
      <c r="AI11" s="1">
        <v>-2.0</v>
      </c>
      <c r="AJ11" s="1">
        <v>1042.0</v>
      </c>
      <c r="AK11" s="1">
        <v>-2.0</v>
      </c>
      <c r="AL11" s="1">
        <v>-2.0</v>
      </c>
      <c r="AM11" s="1">
        <v>-2.0</v>
      </c>
      <c r="AN11" s="1">
        <v>-2.0</v>
      </c>
      <c r="AO11" s="1">
        <v>1232.0</v>
      </c>
      <c r="AP11" s="1">
        <v>-2.0</v>
      </c>
      <c r="AQ11" s="1">
        <v>2105.0</v>
      </c>
      <c r="AR11" s="1">
        <v>-2.0</v>
      </c>
      <c r="AS11" s="1">
        <v>-2.0</v>
      </c>
      <c r="AT11" s="1">
        <v>-2.0</v>
      </c>
      <c r="AU11" s="1">
        <v>1379.0</v>
      </c>
      <c r="AV11" s="1">
        <v>-2.0</v>
      </c>
      <c r="AW11" s="1">
        <v>-2.0</v>
      </c>
      <c r="AX11" s="1">
        <v>-2.0</v>
      </c>
      <c r="AY11" s="1">
        <v>1593.0</v>
      </c>
      <c r="AZ11" s="1">
        <v>2125.0</v>
      </c>
      <c r="BA11" s="1">
        <v>1469.0</v>
      </c>
      <c r="BB11" s="1">
        <v>1280.0</v>
      </c>
      <c r="BC11" s="1">
        <v>-2.0</v>
      </c>
      <c r="BD11" s="1">
        <v>-2.0</v>
      </c>
      <c r="BE11" s="1">
        <v>1474.0</v>
      </c>
      <c r="BF11" s="1">
        <v>-2.0</v>
      </c>
      <c r="BG11" s="1">
        <v>-2.0</v>
      </c>
      <c r="BH11" s="1">
        <v>1736.0</v>
      </c>
      <c r="BI11" s="1">
        <v>-2.0</v>
      </c>
    </row>
    <row r="12">
      <c r="A12" s="3" t="s">
        <v>1206</v>
      </c>
      <c r="B12" s="1">
        <v>10099.0</v>
      </c>
      <c r="C12" s="1" t="s">
        <v>1145</v>
      </c>
      <c r="D12" s="1">
        <v>3943995.0</v>
      </c>
      <c r="E12" s="1">
        <v>52182.0</v>
      </c>
      <c r="F12" s="1">
        <v>72.0</v>
      </c>
      <c r="G12" s="1">
        <v>67.0</v>
      </c>
      <c r="H12" s="1" t="s">
        <v>1207</v>
      </c>
      <c r="I12" s="1">
        <v>89.0</v>
      </c>
      <c r="J12" s="1">
        <v>52883.0</v>
      </c>
      <c r="K12" s="1">
        <v>172004.0</v>
      </c>
      <c r="L12" s="1">
        <v>536778.0</v>
      </c>
      <c r="M12" s="1">
        <v>1.0</v>
      </c>
      <c r="N12" s="1">
        <v>-1.0</v>
      </c>
      <c r="O12" s="1" t="s">
        <v>1208</v>
      </c>
      <c r="P12" s="1">
        <v>1.5232936E7</v>
      </c>
      <c r="Q12" s="1">
        <v>27028.0</v>
      </c>
      <c r="R12" s="1">
        <v>13347.0</v>
      </c>
      <c r="S12" s="1">
        <v>102.0</v>
      </c>
      <c r="T12" s="1">
        <v>16.0</v>
      </c>
      <c r="U12" s="1" t="s">
        <v>1166</v>
      </c>
      <c r="V12" s="1" t="s">
        <v>1209</v>
      </c>
      <c r="W12" s="1">
        <v>14.0</v>
      </c>
      <c r="X12" s="1">
        <v>1965.0</v>
      </c>
      <c r="Y12" s="1">
        <v>40688.0</v>
      </c>
      <c r="Z12" s="1">
        <v>61160.0</v>
      </c>
      <c r="AA12" s="1">
        <v>56741.0</v>
      </c>
      <c r="AB12" s="1" t="s">
        <v>1166</v>
      </c>
      <c r="AC12" s="1">
        <v>7.0</v>
      </c>
      <c r="AD12" s="1">
        <v>16.0</v>
      </c>
      <c r="AE12" s="1">
        <v>253.0</v>
      </c>
      <c r="AF12" s="1">
        <v>148.0</v>
      </c>
      <c r="AG12" s="6">
        <v>45612.116064814814</v>
      </c>
      <c r="AH12" s="1">
        <v>-2.0</v>
      </c>
      <c r="AI12" s="1">
        <v>-2.0</v>
      </c>
      <c r="AJ12" s="1">
        <v>-2.0</v>
      </c>
      <c r="AK12" s="1">
        <v>-2.0</v>
      </c>
      <c r="AL12" s="1">
        <v>-2.0</v>
      </c>
      <c r="AM12" s="1">
        <v>-2.0</v>
      </c>
      <c r="AN12" s="1">
        <v>-2.0</v>
      </c>
      <c r="AO12" s="1">
        <v>-2.0</v>
      </c>
      <c r="AP12" s="1">
        <v>-2.0</v>
      </c>
      <c r="AQ12" s="1">
        <v>-2.0</v>
      </c>
      <c r="AR12" s="1">
        <v>-2.0</v>
      </c>
      <c r="AS12" s="1">
        <v>10099.0</v>
      </c>
      <c r="AT12" s="1">
        <v>-2.0</v>
      </c>
      <c r="AU12" s="1">
        <v>-2.0</v>
      </c>
      <c r="AV12" s="1">
        <v>14400.0</v>
      </c>
      <c r="AW12" s="1">
        <v>-2.0</v>
      </c>
      <c r="AX12" s="1">
        <v>-2.0</v>
      </c>
      <c r="AY12" s="1">
        <v>-2.0</v>
      </c>
      <c r="AZ12" s="1">
        <v>-2.0</v>
      </c>
      <c r="BA12" s="1">
        <v>-2.0</v>
      </c>
      <c r="BB12" s="1">
        <v>-2.0</v>
      </c>
      <c r="BC12" s="1">
        <v>-2.0</v>
      </c>
      <c r="BD12" s="1">
        <v>-2.0</v>
      </c>
      <c r="BE12" s="1">
        <v>-2.0</v>
      </c>
      <c r="BF12" s="1">
        <v>-2.0</v>
      </c>
      <c r="BG12" s="1">
        <v>-2.0</v>
      </c>
      <c r="BH12" s="1">
        <v>-2.0</v>
      </c>
      <c r="BI12" s="1">
        <v>-2.0</v>
      </c>
    </row>
    <row r="13">
      <c r="A13" s="3" t="s">
        <v>1210</v>
      </c>
      <c r="B13" s="1">
        <v>2250.0</v>
      </c>
      <c r="C13" s="1" t="s">
        <v>1144</v>
      </c>
      <c r="D13" s="1">
        <v>29399.0</v>
      </c>
      <c r="E13" s="1">
        <v>3416.0</v>
      </c>
      <c r="F13" s="1">
        <v>26.0</v>
      </c>
      <c r="G13" s="1">
        <v>36.0</v>
      </c>
      <c r="H13" s="1" t="s">
        <v>1211</v>
      </c>
      <c r="I13" s="1">
        <v>91.0</v>
      </c>
      <c r="J13" s="1">
        <v>628.0</v>
      </c>
      <c r="K13" s="1">
        <v>3049.0</v>
      </c>
      <c r="L13" s="1">
        <v>8727.0</v>
      </c>
      <c r="M13" s="1">
        <v>1.0</v>
      </c>
      <c r="N13" s="1">
        <v>-1.0</v>
      </c>
      <c r="O13" s="1" t="s">
        <v>1212</v>
      </c>
      <c r="P13" s="1">
        <v>272024.0</v>
      </c>
      <c r="Q13" s="1">
        <v>2099.0</v>
      </c>
      <c r="R13" s="1">
        <v>1345.0</v>
      </c>
      <c r="S13" s="1">
        <v>2.0</v>
      </c>
      <c r="T13" s="1">
        <v>1.0</v>
      </c>
      <c r="V13" s="1" t="s">
        <v>1167</v>
      </c>
      <c r="W13" s="1">
        <v>38.0</v>
      </c>
      <c r="X13" s="1">
        <v>999.0</v>
      </c>
      <c r="Y13" s="1">
        <v>990.0</v>
      </c>
      <c r="Z13" s="1">
        <v>2128.0</v>
      </c>
      <c r="AA13" s="1">
        <v>3626.0</v>
      </c>
      <c r="AB13" s="1" t="s">
        <v>1166</v>
      </c>
      <c r="AC13" s="1">
        <v>0.0</v>
      </c>
      <c r="AD13" s="1">
        <v>0.0</v>
      </c>
      <c r="AE13" s="1">
        <v>0.0</v>
      </c>
      <c r="AF13" s="1">
        <v>0.0</v>
      </c>
      <c r="AG13" s="6">
        <v>45983.04864583333</v>
      </c>
      <c r="AH13" s="1">
        <v>-2.0</v>
      </c>
      <c r="AI13" s="1">
        <v>-2.0</v>
      </c>
      <c r="AJ13" s="1">
        <v>-2.0</v>
      </c>
      <c r="AK13" s="1">
        <v>-2.0</v>
      </c>
      <c r="AL13" s="1">
        <v>-2.0</v>
      </c>
      <c r="AM13" s="1">
        <v>-2.0</v>
      </c>
      <c r="AN13" s="1">
        <v>-2.0</v>
      </c>
      <c r="AO13" s="1">
        <v>-2.0</v>
      </c>
      <c r="AP13" s="1">
        <v>-2.0</v>
      </c>
      <c r="AQ13" s="1">
        <v>-2.0</v>
      </c>
      <c r="AR13" s="1">
        <v>2250.0</v>
      </c>
      <c r="AS13" s="1">
        <v>-2.0</v>
      </c>
      <c r="AT13" s="1">
        <v>-2.0</v>
      </c>
      <c r="AU13" s="1">
        <v>-2.0</v>
      </c>
      <c r="AV13" s="1">
        <v>-2.0</v>
      </c>
      <c r="AW13" s="1">
        <v>-2.0</v>
      </c>
      <c r="AX13" s="1">
        <v>-2.0</v>
      </c>
      <c r="AY13" s="1">
        <v>-2.0</v>
      </c>
      <c r="AZ13" s="1">
        <v>-2.0</v>
      </c>
      <c r="BA13" s="1">
        <v>-2.0</v>
      </c>
      <c r="BB13" s="1">
        <v>-2.0</v>
      </c>
      <c r="BC13" s="1">
        <v>-2.0</v>
      </c>
      <c r="BD13" s="1">
        <v>-2.0</v>
      </c>
      <c r="BE13" s="1">
        <v>-2.0</v>
      </c>
      <c r="BF13" s="1">
        <v>-2.0</v>
      </c>
      <c r="BG13" s="1">
        <v>-2.0</v>
      </c>
      <c r="BH13" s="1">
        <v>-2.0</v>
      </c>
      <c r="BI13" s="1">
        <v>-2.0</v>
      </c>
    </row>
    <row r="14">
      <c r="A14" s="3" t="s">
        <v>1213</v>
      </c>
      <c r="B14" s="1">
        <v>630.0</v>
      </c>
      <c r="C14" s="1" t="s">
        <v>1163</v>
      </c>
      <c r="D14" s="1">
        <v>1016018.0</v>
      </c>
      <c r="E14" s="1">
        <v>33557.0</v>
      </c>
      <c r="F14" s="1">
        <v>62.0</v>
      </c>
      <c r="G14" s="1">
        <v>59.0</v>
      </c>
      <c r="H14" s="1" t="s">
        <v>1214</v>
      </c>
      <c r="I14" s="1">
        <v>86.0</v>
      </c>
      <c r="J14" s="1">
        <v>14865.0</v>
      </c>
      <c r="K14" s="1">
        <v>55772.0</v>
      </c>
      <c r="L14" s="1">
        <v>251593.0</v>
      </c>
      <c r="M14" s="1">
        <v>1.0</v>
      </c>
      <c r="N14" s="1">
        <v>-1.0</v>
      </c>
      <c r="O14" s="1" t="s">
        <v>1215</v>
      </c>
      <c r="P14" s="1">
        <v>2280709.0</v>
      </c>
      <c r="Q14" s="1">
        <v>17989.0</v>
      </c>
      <c r="R14" s="1">
        <v>9396.0</v>
      </c>
      <c r="S14" s="1">
        <v>95.0</v>
      </c>
      <c r="T14" s="1">
        <v>17.0</v>
      </c>
      <c r="U14" s="1" t="s">
        <v>1166</v>
      </c>
      <c r="V14" s="1" t="s">
        <v>1216</v>
      </c>
      <c r="W14" s="1">
        <v>10.0</v>
      </c>
      <c r="X14" s="1">
        <v>3928.0</v>
      </c>
      <c r="Y14" s="1">
        <v>16232.0</v>
      </c>
      <c r="Z14" s="1">
        <v>27235.0</v>
      </c>
      <c r="AA14" s="1">
        <v>25495.0</v>
      </c>
      <c r="AB14" s="1" t="s">
        <v>1166</v>
      </c>
      <c r="AC14" s="1">
        <v>18.0</v>
      </c>
      <c r="AD14" s="1">
        <v>30.0</v>
      </c>
      <c r="AE14" s="1">
        <v>90.0</v>
      </c>
      <c r="AF14" s="1">
        <v>38.0</v>
      </c>
      <c r="AG14" s="6">
        <v>45611.979780092595</v>
      </c>
      <c r="AH14" s="1">
        <v>-2.0</v>
      </c>
      <c r="AI14" s="1">
        <v>-2.0</v>
      </c>
      <c r="AJ14" s="1">
        <v>-2.0</v>
      </c>
      <c r="AK14" s="1">
        <v>1356.0</v>
      </c>
      <c r="AL14" s="1">
        <v>630.0</v>
      </c>
      <c r="AM14" s="1">
        <v>-2.0</v>
      </c>
      <c r="AN14" s="1">
        <v>-2.0</v>
      </c>
      <c r="AO14" s="1">
        <v>-2.0</v>
      </c>
      <c r="AP14" s="1">
        <v>862.0</v>
      </c>
      <c r="AQ14" s="1">
        <v>1905.0</v>
      </c>
      <c r="AR14" s="1">
        <v>1080.0</v>
      </c>
      <c r="AS14" s="1">
        <v>698.0</v>
      </c>
      <c r="AT14" s="1">
        <v>796.0</v>
      </c>
      <c r="AU14" s="1">
        <v>-2.0</v>
      </c>
      <c r="AV14" s="1">
        <v>-2.0</v>
      </c>
      <c r="AW14" s="1">
        <v>-2.0</v>
      </c>
      <c r="AX14" s="1">
        <v>2783.0</v>
      </c>
      <c r="AY14" s="1">
        <v>1864.0</v>
      </c>
      <c r="AZ14" s="1">
        <v>6998.0</v>
      </c>
      <c r="BA14" s="1">
        <v>-2.0</v>
      </c>
      <c r="BB14" s="1">
        <v>1055.0</v>
      </c>
      <c r="BC14" s="1">
        <v>1445.0</v>
      </c>
      <c r="BD14" s="1">
        <v>-2.0</v>
      </c>
      <c r="BE14" s="1">
        <v>-2.0</v>
      </c>
      <c r="BF14" s="1">
        <v>-2.0</v>
      </c>
      <c r="BG14" s="1">
        <v>-2.0</v>
      </c>
      <c r="BH14" s="1">
        <v>-2.0</v>
      </c>
      <c r="BI14" s="1">
        <v>-2.0</v>
      </c>
    </row>
    <row r="15">
      <c r="A15" s="3" t="s">
        <v>1217</v>
      </c>
      <c r="B15" s="1">
        <v>264.0</v>
      </c>
      <c r="C15" s="1" t="s">
        <v>1197</v>
      </c>
      <c r="D15" s="1">
        <v>93952.0</v>
      </c>
      <c r="E15" s="1">
        <v>1607.0</v>
      </c>
      <c r="F15" s="1">
        <v>21.0</v>
      </c>
      <c r="G15" s="1">
        <v>44.0</v>
      </c>
      <c r="H15" s="1" t="s">
        <v>1170</v>
      </c>
      <c r="I15" s="1">
        <v>52.0</v>
      </c>
      <c r="J15" s="1">
        <v>2541.0</v>
      </c>
      <c r="K15" s="1">
        <v>4549.0</v>
      </c>
      <c r="L15" s="1">
        <v>5961.0</v>
      </c>
      <c r="M15" s="1">
        <v>1.0</v>
      </c>
      <c r="N15" s="1">
        <v>-1.0</v>
      </c>
      <c r="O15" s="1" t="s">
        <v>1218</v>
      </c>
      <c r="P15" s="1">
        <v>6995.0</v>
      </c>
      <c r="Q15" s="1">
        <v>1068.0</v>
      </c>
      <c r="R15" s="1">
        <v>526.0</v>
      </c>
      <c r="S15" s="1">
        <v>1.0</v>
      </c>
      <c r="T15" s="1">
        <v>1.0</v>
      </c>
      <c r="U15" s="1" t="s">
        <v>1167</v>
      </c>
      <c r="V15" s="1" t="s">
        <v>1219</v>
      </c>
      <c r="W15" s="1">
        <v>23.0</v>
      </c>
      <c r="X15" s="1">
        <v>541309.0</v>
      </c>
      <c r="Y15" s="1">
        <v>905.0</v>
      </c>
      <c r="Z15" s="1">
        <v>1332.0</v>
      </c>
      <c r="AA15" s="1">
        <v>1714.0</v>
      </c>
      <c r="AB15" s="1" t="s">
        <v>1166</v>
      </c>
      <c r="AC15" s="1">
        <v>0.0</v>
      </c>
      <c r="AD15" s="1">
        <v>0.0</v>
      </c>
      <c r="AE15" s="1">
        <v>0.0</v>
      </c>
      <c r="AF15" s="1">
        <v>0.0</v>
      </c>
      <c r="AG15" s="6">
        <v>45723.09877314815</v>
      </c>
      <c r="AH15" s="1">
        <v>355.0</v>
      </c>
      <c r="AI15" s="1">
        <v>264.0</v>
      </c>
      <c r="AJ15" s="1">
        <v>378.0</v>
      </c>
      <c r="AK15" s="1">
        <v>467.0</v>
      </c>
      <c r="AL15" s="1">
        <v>-2.0</v>
      </c>
      <c r="AM15" s="1">
        <v>-2.0</v>
      </c>
      <c r="AN15" s="1">
        <v>-2.0</v>
      </c>
      <c r="AO15" s="1">
        <v>468.0</v>
      </c>
      <c r="AP15" s="1">
        <v>-2.0</v>
      </c>
      <c r="AQ15" s="1">
        <v>380.0</v>
      </c>
      <c r="AR15" s="1">
        <v>-2.0</v>
      </c>
      <c r="AS15" s="1">
        <v>265.0</v>
      </c>
      <c r="AT15" s="1">
        <v>-2.0</v>
      </c>
      <c r="AU15" s="1">
        <v>-2.0</v>
      </c>
      <c r="AV15" s="1">
        <v>528.0</v>
      </c>
      <c r="AW15" s="1">
        <v>-2.0</v>
      </c>
      <c r="AX15" s="1">
        <v>-2.0</v>
      </c>
      <c r="AY15" s="1">
        <v>350.0</v>
      </c>
      <c r="AZ15" s="1">
        <v>490.0</v>
      </c>
      <c r="BA15" s="1">
        <v>475.0</v>
      </c>
      <c r="BB15" s="1">
        <v>670.0</v>
      </c>
      <c r="BC15" s="1">
        <v>-2.0</v>
      </c>
      <c r="BD15" s="1">
        <v>507.0</v>
      </c>
      <c r="BE15" s="1">
        <v>-2.0</v>
      </c>
      <c r="BF15" s="1">
        <v>-2.0</v>
      </c>
      <c r="BG15" s="1">
        <v>-2.0</v>
      </c>
      <c r="BH15" s="1">
        <v>580.0</v>
      </c>
      <c r="BI15" s="1">
        <v>275.0</v>
      </c>
    </row>
    <row r="16">
      <c r="A16" s="3" t="s">
        <v>1220</v>
      </c>
      <c r="B16" s="1">
        <v>21.0</v>
      </c>
      <c r="C16" s="1" t="s">
        <v>1197</v>
      </c>
      <c r="D16" s="1">
        <v>80.0</v>
      </c>
      <c r="E16" s="1">
        <v>78.0</v>
      </c>
      <c r="F16" s="1">
        <v>4.0</v>
      </c>
      <c r="G16" s="1">
        <v>19.0</v>
      </c>
      <c r="H16" s="1" t="s">
        <v>1221</v>
      </c>
      <c r="I16" s="1">
        <v>7.0</v>
      </c>
      <c r="J16" s="1">
        <v>2.0</v>
      </c>
      <c r="K16" s="1">
        <v>11.0</v>
      </c>
      <c r="L16" s="1">
        <v>90.0</v>
      </c>
      <c r="M16" s="1">
        <v>0.0</v>
      </c>
      <c r="N16" s="1">
        <v>-1.0</v>
      </c>
      <c r="P16" s="1">
        <v>549.0</v>
      </c>
      <c r="Q16" s="1">
        <v>38.0</v>
      </c>
      <c r="R16" s="1">
        <v>29.0</v>
      </c>
      <c r="S16" s="1">
        <v>0.0</v>
      </c>
      <c r="T16" s="1">
        <v>0.0</v>
      </c>
      <c r="V16" s="1" t="s">
        <v>1222</v>
      </c>
      <c r="W16" s="1">
        <v>4.0</v>
      </c>
      <c r="X16" s="1">
        <v>2.2360008E7</v>
      </c>
      <c r="Y16" s="1">
        <v>4.0</v>
      </c>
      <c r="Z16" s="1">
        <v>11.0</v>
      </c>
      <c r="AA16" s="1">
        <v>0.0</v>
      </c>
      <c r="AB16" s="1" t="s">
        <v>1166</v>
      </c>
      <c r="AC16" s="1">
        <v>0.0</v>
      </c>
      <c r="AD16" s="1">
        <v>0.0</v>
      </c>
      <c r="AE16" s="1">
        <v>0.0</v>
      </c>
      <c r="AF16" s="1">
        <v>0.0</v>
      </c>
      <c r="AG16" s="6">
        <v>45913.14630787037</v>
      </c>
      <c r="AH16" s="1">
        <v>-2.0</v>
      </c>
      <c r="AI16" s="1">
        <v>21.0</v>
      </c>
      <c r="AJ16" s="1">
        <v>-2.0</v>
      </c>
      <c r="AK16" s="1">
        <v>-2.0</v>
      </c>
      <c r="AL16" s="1">
        <v>-2.0</v>
      </c>
      <c r="AM16" s="1">
        <v>-2.0</v>
      </c>
      <c r="AN16" s="1">
        <v>-2.0</v>
      </c>
      <c r="AO16" s="1">
        <v>31.0</v>
      </c>
      <c r="AP16" s="1">
        <v>-2.0</v>
      </c>
      <c r="AQ16" s="1">
        <v>-2.0</v>
      </c>
      <c r="AR16" s="1">
        <v>-2.0</v>
      </c>
      <c r="AS16" s="1">
        <v>-2.0</v>
      </c>
      <c r="AT16" s="1">
        <v>-2.0</v>
      </c>
      <c r="AU16" s="1">
        <v>-2.0</v>
      </c>
      <c r="AV16" s="1">
        <v>-2.0</v>
      </c>
      <c r="AW16" s="1">
        <v>-2.0</v>
      </c>
      <c r="AX16" s="1">
        <v>-2.0</v>
      </c>
      <c r="AY16" s="1">
        <v>-2.0</v>
      </c>
      <c r="AZ16" s="1">
        <v>-2.0</v>
      </c>
      <c r="BA16" s="1">
        <v>-2.0</v>
      </c>
      <c r="BB16" s="1">
        <v>-2.0</v>
      </c>
      <c r="BC16" s="1">
        <v>-2.0</v>
      </c>
      <c r="BD16" s="1">
        <v>-2.0</v>
      </c>
      <c r="BE16" s="1">
        <v>-2.0</v>
      </c>
      <c r="BF16" s="1">
        <v>-2.0</v>
      </c>
      <c r="BG16" s="1">
        <v>-2.0</v>
      </c>
      <c r="BH16" s="1">
        <v>-2.0</v>
      </c>
      <c r="BI16" s="1">
        <v>-2.0</v>
      </c>
    </row>
    <row r="17">
      <c r="A17" s="3" t="s">
        <v>1223</v>
      </c>
      <c r="B17" s="1">
        <v>48.0</v>
      </c>
      <c r="C17" s="1" t="s">
        <v>1197</v>
      </c>
      <c r="D17" s="1">
        <v>77.0</v>
      </c>
      <c r="E17" s="1">
        <v>74.0</v>
      </c>
      <c r="F17" s="1">
        <v>11.0</v>
      </c>
      <c r="G17" s="1">
        <v>24.0</v>
      </c>
      <c r="H17" s="1" t="s">
        <v>1193</v>
      </c>
      <c r="I17" s="1">
        <v>14.0</v>
      </c>
      <c r="J17" s="1">
        <v>3.0</v>
      </c>
      <c r="K17" s="1">
        <v>26.0</v>
      </c>
      <c r="L17" s="1">
        <v>68.0</v>
      </c>
      <c r="M17" s="1">
        <v>0.0</v>
      </c>
      <c r="N17" s="1">
        <v>-1.0</v>
      </c>
      <c r="O17" s="1" t="s">
        <v>1224</v>
      </c>
      <c r="P17" s="1">
        <v>3803.0</v>
      </c>
      <c r="Q17" s="1">
        <v>40.0</v>
      </c>
      <c r="R17" s="1">
        <v>37.0</v>
      </c>
      <c r="S17" s="1">
        <v>0.0</v>
      </c>
      <c r="T17" s="1">
        <v>0.0</v>
      </c>
      <c r="U17" s="1" t="s">
        <v>1167</v>
      </c>
      <c r="V17" s="1" t="s">
        <v>1167</v>
      </c>
      <c r="W17" s="1">
        <v>17.0</v>
      </c>
      <c r="X17" s="1">
        <v>1.1849265E7</v>
      </c>
      <c r="Y17" s="1">
        <v>12.0</v>
      </c>
      <c r="Z17" s="1">
        <v>25.0</v>
      </c>
      <c r="AA17" s="1">
        <v>12.0</v>
      </c>
      <c r="AB17" s="1" t="s">
        <v>1166</v>
      </c>
      <c r="AC17" s="1">
        <v>0.0</v>
      </c>
      <c r="AD17" s="1">
        <v>0.0</v>
      </c>
      <c r="AE17" s="1">
        <v>0.0</v>
      </c>
      <c r="AF17" s="1">
        <v>0.0</v>
      </c>
      <c r="AG17" s="6">
        <v>45935.03791666667</v>
      </c>
      <c r="AH17" s="1">
        <v>50.0</v>
      </c>
      <c r="AI17" s="1">
        <v>48.0</v>
      </c>
      <c r="AJ17" s="1">
        <v>-2.0</v>
      </c>
      <c r="AK17" s="1">
        <v>86.0</v>
      </c>
      <c r="AL17" s="1">
        <v>-2.0</v>
      </c>
      <c r="AM17" s="1">
        <v>-2.0</v>
      </c>
      <c r="AN17" s="1">
        <v>-2.0</v>
      </c>
      <c r="AO17" s="1">
        <v>-2.0</v>
      </c>
      <c r="AP17" s="1">
        <v>-2.0</v>
      </c>
      <c r="AQ17" s="1">
        <v>-2.0</v>
      </c>
      <c r="AR17" s="1">
        <v>-2.0</v>
      </c>
      <c r="AS17" s="1">
        <v>-2.0</v>
      </c>
      <c r="AT17" s="1">
        <v>-2.0</v>
      </c>
      <c r="AU17" s="1">
        <v>-2.0</v>
      </c>
      <c r="AV17" s="1">
        <v>-2.0</v>
      </c>
      <c r="AW17" s="1">
        <v>-2.0</v>
      </c>
      <c r="AX17" s="1">
        <v>-2.0</v>
      </c>
      <c r="AY17" s="1">
        <v>-2.0</v>
      </c>
      <c r="AZ17" s="1">
        <v>-2.0</v>
      </c>
      <c r="BA17" s="1">
        <v>-2.0</v>
      </c>
      <c r="BB17" s="1">
        <v>-2.0</v>
      </c>
      <c r="BC17" s="1">
        <v>-2.0</v>
      </c>
      <c r="BD17" s="1">
        <v>-2.0</v>
      </c>
      <c r="BE17" s="1">
        <v>-2.0</v>
      </c>
      <c r="BF17" s="1">
        <v>-2.0</v>
      </c>
      <c r="BG17" s="1">
        <v>-2.0</v>
      </c>
      <c r="BH17" s="1">
        <v>-2.0</v>
      </c>
      <c r="BI17" s="1">
        <v>-2.0</v>
      </c>
    </row>
    <row r="18">
      <c r="A18" s="3" t="s">
        <v>1225</v>
      </c>
      <c r="B18" s="1">
        <v>315.0</v>
      </c>
      <c r="C18" s="1" t="s">
        <v>1226</v>
      </c>
      <c r="D18" s="1">
        <v>294.0</v>
      </c>
      <c r="E18" s="1">
        <v>321.0</v>
      </c>
      <c r="F18" s="1">
        <v>13.0</v>
      </c>
      <c r="G18" s="1">
        <v>36.0</v>
      </c>
      <c r="H18" s="1" t="s">
        <v>1193</v>
      </c>
      <c r="I18" s="1">
        <v>27.0</v>
      </c>
      <c r="J18" s="1">
        <v>9.0</v>
      </c>
      <c r="K18" s="1">
        <v>36.0</v>
      </c>
      <c r="L18" s="1">
        <v>56.0</v>
      </c>
      <c r="M18" s="1">
        <v>0.0</v>
      </c>
      <c r="N18" s="1">
        <v>-1.0</v>
      </c>
      <c r="O18" s="1" t="s">
        <v>1227</v>
      </c>
      <c r="P18" s="1">
        <v>38079.0</v>
      </c>
      <c r="Q18" s="1">
        <v>181.0</v>
      </c>
      <c r="R18" s="1">
        <v>155.0</v>
      </c>
      <c r="S18" s="1">
        <v>0.0</v>
      </c>
      <c r="T18" s="1">
        <v>0.0</v>
      </c>
      <c r="U18" s="1" t="s">
        <v>1167</v>
      </c>
      <c r="V18" s="1" t="s">
        <v>1228</v>
      </c>
      <c r="W18" s="1">
        <v>14.0</v>
      </c>
      <c r="X18" s="1">
        <v>4858598.0</v>
      </c>
      <c r="Y18" s="1">
        <v>9.0</v>
      </c>
      <c r="Z18" s="1">
        <v>84.0</v>
      </c>
      <c r="AA18" s="1">
        <v>103.0</v>
      </c>
      <c r="AB18" s="1" t="s">
        <v>1166</v>
      </c>
      <c r="AC18" s="1">
        <v>0.0</v>
      </c>
      <c r="AD18" s="1">
        <v>0.0</v>
      </c>
      <c r="AE18" s="1">
        <v>0.0</v>
      </c>
      <c r="AF18" s="1">
        <v>0.0</v>
      </c>
      <c r="AG18" s="6">
        <v>45647.10254629629</v>
      </c>
      <c r="AH18" s="1">
        <v>-2.0</v>
      </c>
      <c r="AI18" s="1">
        <v>-2.0</v>
      </c>
      <c r="AJ18" s="1">
        <v>-2.0</v>
      </c>
      <c r="AK18" s="1">
        <v>-2.0</v>
      </c>
      <c r="AL18" s="1">
        <v>-2.0</v>
      </c>
      <c r="AM18" s="1">
        <v>-2.0</v>
      </c>
      <c r="AN18" s="1">
        <v>-2.0</v>
      </c>
      <c r="AO18" s="1">
        <v>-2.0</v>
      </c>
      <c r="AP18" s="1">
        <v>-2.0</v>
      </c>
      <c r="AQ18" s="1">
        <v>-2.0</v>
      </c>
      <c r="AR18" s="1">
        <v>380.0</v>
      </c>
      <c r="AS18" s="1">
        <v>-2.0</v>
      </c>
      <c r="AT18" s="1">
        <v>-2.0</v>
      </c>
      <c r="AU18" s="1">
        <v>-2.0</v>
      </c>
      <c r="AV18" s="1">
        <v>-2.0</v>
      </c>
      <c r="AW18" s="1">
        <v>-2.0</v>
      </c>
      <c r="AX18" s="1">
        <v>-2.0</v>
      </c>
      <c r="AY18" s="1">
        <v>-2.0</v>
      </c>
      <c r="AZ18" s="1">
        <v>-2.0</v>
      </c>
      <c r="BA18" s="1">
        <v>356.0</v>
      </c>
      <c r="BB18" s="1">
        <v>315.0</v>
      </c>
      <c r="BC18" s="1">
        <v>-2.0</v>
      </c>
      <c r="BD18" s="1">
        <v>-2.0</v>
      </c>
      <c r="BE18" s="1">
        <v>-2.0</v>
      </c>
      <c r="BF18" s="1">
        <v>-2.0</v>
      </c>
      <c r="BG18" s="1">
        <v>-2.0</v>
      </c>
      <c r="BH18" s="1">
        <v>-2.0</v>
      </c>
      <c r="BI18" s="1">
        <v>-2.0</v>
      </c>
    </row>
    <row r="19">
      <c r="A19" s="3" t="s">
        <v>1229</v>
      </c>
      <c r="B19" s="1">
        <v>2431.0</v>
      </c>
      <c r="C19" s="1" t="s">
        <v>1187</v>
      </c>
      <c r="D19" s="1">
        <v>152892.0</v>
      </c>
      <c r="E19" s="1">
        <v>3975.0</v>
      </c>
      <c r="F19" s="1">
        <v>47.0</v>
      </c>
      <c r="G19" s="1">
        <v>61.0</v>
      </c>
      <c r="H19" s="1" t="s">
        <v>1230</v>
      </c>
      <c r="I19" s="1">
        <v>73.0</v>
      </c>
      <c r="J19" s="1">
        <v>3451.0</v>
      </c>
      <c r="K19" s="1">
        <v>15431.0</v>
      </c>
      <c r="L19" s="1">
        <v>92155.0</v>
      </c>
      <c r="M19" s="1">
        <v>1.0</v>
      </c>
      <c r="N19" s="1">
        <v>-1.0</v>
      </c>
      <c r="O19" s="1" t="s">
        <v>1231</v>
      </c>
      <c r="P19" s="1">
        <v>202707.0</v>
      </c>
      <c r="Q19" s="1">
        <v>2384.0</v>
      </c>
      <c r="R19" s="1">
        <v>1502.0</v>
      </c>
      <c r="S19" s="1">
        <v>17.0</v>
      </c>
      <c r="T19" s="1">
        <v>1.0</v>
      </c>
      <c r="U19" s="1" t="s">
        <v>1166</v>
      </c>
      <c r="V19" s="1" t="s">
        <v>1167</v>
      </c>
      <c r="W19" s="1">
        <v>5.0</v>
      </c>
      <c r="X19" s="1">
        <v>56202.0</v>
      </c>
      <c r="Y19" s="1">
        <v>4365.0</v>
      </c>
      <c r="Z19" s="1">
        <v>5535.0</v>
      </c>
      <c r="AA19" s="1">
        <v>4495.0</v>
      </c>
      <c r="AB19" s="1" t="s">
        <v>1166</v>
      </c>
      <c r="AC19" s="1">
        <v>14.0</v>
      </c>
      <c r="AD19" s="1">
        <v>20.0</v>
      </c>
      <c r="AE19" s="1">
        <v>46.0</v>
      </c>
      <c r="AF19" s="1">
        <v>33.0</v>
      </c>
      <c r="AG19" s="6">
        <v>45904.13291666667</v>
      </c>
      <c r="AH19" s="1">
        <v>-2.0</v>
      </c>
      <c r="AI19" s="1">
        <v>-2.0</v>
      </c>
      <c r="AJ19" s="1">
        <v>-2.0</v>
      </c>
      <c r="AK19" s="1">
        <v>-2.0</v>
      </c>
      <c r="AL19" s="1">
        <v>-2.0</v>
      </c>
      <c r="AM19" s="1">
        <v>-2.0</v>
      </c>
      <c r="AN19" s="1">
        <v>-2.0</v>
      </c>
      <c r="AO19" s="1">
        <v>2431.0</v>
      </c>
      <c r="AP19" s="1">
        <v>-2.0</v>
      </c>
      <c r="AQ19" s="1">
        <v>-2.0</v>
      </c>
      <c r="AR19" s="1">
        <v>-2.0</v>
      </c>
      <c r="AS19" s="1">
        <v>-2.0</v>
      </c>
      <c r="AT19" s="1">
        <v>-2.0</v>
      </c>
      <c r="AU19" s="1">
        <v>-2.0</v>
      </c>
      <c r="AV19" s="1">
        <v>-2.0</v>
      </c>
      <c r="AW19" s="1">
        <v>-2.0</v>
      </c>
      <c r="AX19" s="1">
        <v>-2.0</v>
      </c>
      <c r="AY19" s="1">
        <v>-2.0</v>
      </c>
      <c r="AZ19" s="1">
        <v>-2.0</v>
      </c>
      <c r="BA19" s="1">
        <v>-2.0</v>
      </c>
      <c r="BB19" s="1">
        <v>-2.0</v>
      </c>
      <c r="BC19" s="1">
        <v>-2.0</v>
      </c>
      <c r="BD19" s="1">
        <v>-2.0</v>
      </c>
      <c r="BE19" s="1">
        <v>-2.0</v>
      </c>
      <c r="BF19" s="1">
        <v>-2.0</v>
      </c>
      <c r="BG19" s="1">
        <v>-2.0</v>
      </c>
      <c r="BH19" s="1">
        <v>-2.0</v>
      </c>
      <c r="BI19" s="1">
        <v>-2.0</v>
      </c>
    </row>
    <row r="20">
      <c r="A20" s="3" t="s">
        <v>1232</v>
      </c>
      <c r="B20" s="1">
        <v>61.0</v>
      </c>
      <c r="C20" s="1" t="s">
        <v>1169</v>
      </c>
      <c r="D20" s="1">
        <v>242.0</v>
      </c>
      <c r="E20" s="1">
        <v>10.0</v>
      </c>
      <c r="F20" s="1">
        <v>8.0</v>
      </c>
      <c r="G20" s="1">
        <v>20.0</v>
      </c>
      <c r="H20" s="1" t="s">
        <v>1233</v>
      </c>
      <c r="I20" s="1">
        <v>12.0</v>
      </c>
      <c r="J20" s="1">
        <v>4.0</v>
      </c>
      <c r="K20" s="1">
        <v>18.0</v>
      </c>
      <c r="L20" s="1">
        <v>27.0</v>
      </c>
      <c r="M20" s="1">
        <v>0.0</v>
      </c>
      <c r="N20" s="1">
        <v>-1.0</v>
      </c>
      <c r="O20" s="1" t="s">
        <v>1234</v>
      </c>
      <c r="P20" s="1">
        <v>12.0</v>
      </c>
      <c r="Q20" s="1">
        <v>10.0</v>
      </c>
      <c r="R20" s="1">
        <v>7.0</v>
      </c>
      <c r="S20" s="1">
        <v>0.0</v>
      </c>
      <c r="T20" s="1">
        <v>0.0</v>
      </c>
      <c r="U20" s="1" t="s">
        <v>1167</v>
      </c>
      <c r="V20" s="1" t="s">
        <v>1166</v>
      </c>
      <c r="W20" s="1">
        <v>4.0</v>
      </c>
      <c r="X20" s="1">
        <v>1.3596456E7</v>
      </c>
      <c r="Y20" s="1">
        <v>18.0</v>
      </c>
      <c r="Z20" s="1">
        <v>7.0</v>
      </c>
      <c r="AA20" s="1">
        <v>3.0</v>
      </c>
      <c r="AB20" s="1" t="s">
        <v>1166</v>
      </c>
      <c r="AC20" s="1">
        <v>0.0</v>
      </c>
      <c r="AD20" s="1">
        <v>0.0</v>
      </c>
      <c r="AE20" s="1">
        <v>0.0</v>
      </c>
      <c r="AF20" s="1">
        <v>0.0</v>
      </c>
      <c r="AG20" s="6">
        <v>46038.09787037037</v>
      </c>
      <c r="AH20" s="1">
        <v>-2.0</v>
      </c>
      <c r="AI20" s="1">
        <v>-2.0</v>
      </c>
      <c r="AJ20" s="1">
        <v>-2.0</v>
      </c>
      <c r="AK20" s="1">
        <v>61.0</v>
      </c>
      <c r="AL20" s="1">
        <v>-2.0</v>
      </c>
      <c r="AM20" s="1">
        <v>-2.0</v>
      </c>
      <c r="AN20" s="1">
        <v>-2.0</v>
      </c>
      <c r="AO20" s="1">
        <v>62.0</v>
      </c>
      <c r="AP20" s="1">
        <v>-2.0</v>
      </c>
      <c r="AQ20" s="1">
        <v>-2.0</v>
      </c>
      <c r="AR20" s="1">
        <v>-2.0</v>
      </c>
      <c r="AS20" s="1">
        <v>-2.0</v>
      </c>
      <c r="AT20" s="1">
        <v>-2.0</v>
      </c>
      <c r="AU20" s="1">
        <v>-2.0</v>
      </c>
      <c r="AV20" s="1">
        <v>-2.0</v>
      </c>
      <c r="AW20" s="1">
        <v>-2.0</v>
      </c>
      <c r="AX20" s="1">
        <v>-2.0</v>
      </c>
      <c r="AY20" s="1">
        <v>-2.0</v>
      </c>
      <c r="AZ20" s="1">
        <v>-2.0</v>
      </c>
      <c r="BA20" s="1">
        <v>-2.0</v>
      </c>
      <c r="BB20" s="1">
        <v>-2.0</v>
      </c>
      <c r="BC20" s="1">
        <v>-2.0</v>
      </c>
      <c r="BD20" s="1">
        <v>-2.0</v>
      </c>
      <c r="BE20" s="1">
        <v>-2.0</v>
      </c>
      <c r="BF20" s="1">
        <v>-2.0</v>
      </c>
      <c r="BG20" s="1">
        <v>-2.0</v>
      </c>
      <c r="BH20" s="1">
        <v>-2.0</v>
      </c>
      <c r="BI20" s="1">
        <v>-2.0</v>
      </c>
    </row>
    <row r="21">
      <c r="A21" s="3" t="s">
        <v>1235</v>
      </c>
      <c r="B21" s="1">
        <v>61.0</v>
      </c>
      <c r="C21" s="1" t="s">
        <v>1174</v>
      </c>
      <c r="D21" s="1">
        <v>377.0</v>
      </c>
      <c r="E21" s="1">
        <v>216.0</v>
      </c>
      <c r="F21" s="1">
        <v>10.0</v>
      </c>
      <c r="G21" s="1">
        <v>27.0</v>
      </c>
      <c r="H21" s="1" t="s">
        <v>1236</v>
      </c>
      <c r="I21" s="1">
        <v>32.0</v>
      </c>
      <c r="J21" s="1">
        <v>24.0</v>
      </c>
      <c r="K21" s="1">
        <v>93.0</v>
      </c>
      <c r="L21" s="1">
        <v>83.0</v>
      </c>
      <c r="M21" s="1">
        <v>0.0</v>
      </c>
      <c r="N21" s="1">
        <v>-1.0</v>
      </c>
      <c r="O21" s="1" t="s">
        <v>1237</v>
      </c>
      <c r="P21" s="1">
        <v>459.0</v>
      </c>
      <c r="Q21" s="1">
        <v>87.0</v>
      </c>
      <c r="R21" s="1">
        <v>79.0</v>
      </c>
      <c r="S21" s="1">
        <v>0.0</v>
      </c>
      <c r="T21" s="1">
        <v>0.0</v>
      </c>
      <c r="U21" s="1" t="s">
        <v>1166</v>
      </c>
      <c r="V21" s="1" t="s">
        <v>1238</v>
      </c>
      <c r="W21" s="1">
        <v>13.0</v>
      </c>
      <c r="X21" s="1">
        <v>3223581.0</v>
      </c>
      <c r="Y21" s="1">
        <v>36.0</v>
      </c>
      <c r="Z21" s="1">
        <v>85.0</v>
      </c>
      <c r="AA21" s="1">
        <v>114.0</v>
      </c>
      <c r="AB21" s="1" t="s">
        <v>1166</v>
      </c>
      <c r="AC21" s="1">
        <v>0.0</v>
      </c>
      <c r="AD21" s="1">
        <v>0.0</v>
      </c>
      <c r="AE21" s="1">
        <v>0.0</v>
      </c>
      <c r="AF21" s="1">
        <v>0.0</v>
      </c>
      <c r="AG21" s="6">
        <v>45611.98952546297</v>
      </c>
      <c r="AH21" s="1">
        <v>61.0</v>
      </c>
      <c r="AI21" s="1">
        <v>-2.0</v>
      </c>
      <c r="AJ21" s="1">
        <v>-2.0</v>
      </c>
      <c r="AK21" s="1">
        <v>-2.0</v>
      </c>
      <c r="AL21" s="1">
        <v>-2.0</v>
      </c>
      <c r="AM21" s="1">
        <v>-2.0</v>
      </c>
      <c r="AN21" s="1">
        <v>-2.0</v>
      </c>
      <c r="AO21" s="1">
        <v>154.0</v>
      </c>
      <c r="AP21" s="1">
        <v>-2.0</v>
      </c>
      <c r="AQ21" s="1">
        <v>-2.0</v>
      </c>
      <c r="AR21" s="1">
        <v>-2.0</v>
      </c>
      <c r="AS21" s="1">
        <v>-2.0</v>
      </c>
      <c r="AT21" s="1">
        <v>-2.0</v>
      </c>
      <c r="AU21" s="1">
        <v>-2.0</v>
      </c>
      <c r="AV21" s="1">
        <v>-2.0</v>
      </c>
      <c r="AW21" s="1">
        <v>-2.0</v>
      </c>
      <c r="AX21" s="1">
        <v>-2.0</v>
      </c>
      <c r="AY21" s="1">
        <v>-2.0</v>
      </c>
      <c r="AZ21" s="1">
        <v>-2.0</v>
      </c>
      <c r="BA21" s="1">
        <v>-2.0</v>
      </c>
      <c r="BB21" s="1">
        <v>-2.0</v>
      </c>
      <c r="BC21" s="1">
        <v>-2.0</v>
      </c>
      <c r="BD21" s="1">
        <v>-2.0</v>
      </c>
      <c r="BE21" s="1">
        <v>-2.0</v>
      </c>
      <c r="BF21" s="1">
        <v>-2.0</v>
      </c>
      <c r="BG21" s="1">
        <v>-2.0</v>
      </c>
      <c r="BH21" s="1">
        <v>-2.0</v>
      </c>
      <c r="BI21" s="1">
        <v>-2.0</v>
      </c>
    </row>
    <row r="22">
      <c r="A22" s="3" t="s">
        <v>1239</v>
      </c>
      <c r="B22" s="1">
        <v>93.0</v>
      </c>
      <c r="C22" s="1" t="s">
        <v>1174</v>
      </c>
      <c r="D22" s="1">
        <v>567.0</v>
      </c>
      <c r="E22" s="1">
        <v>41.0</v>
      </c>
      <c r="F22" s="1">
        <v>12.0</v>
      </c>
      <c r="G22" s="1">
        <v>26.0</v>
      </c>
      <c r="H22" s="1" t="s">
        <v>1175</v>
      </c>
      <c r="I22" s="1">
        <v>30.0</v>
      </c>
      <c r="J22" s="1">
        <v>10.0</v>
      </c>
      <c r="K22" s="1">
        <v>107.0</v>
      </c>
      <c r="L22" s="1">
        <v>206.0</v>
      </c>
      <c r="M22" s="1">
        <v>0.0</v>
      </c>
      <c r="N22" s="1">
        <v>-1.0</v>
      </c>
      <c r="O22" s="1" t="s">
        <v>1240</v>
      </c>
      <c r="P22" s="1">
        <v>278.0</v>
      </c>
      <c r="Q22" s="1">
        <v>22.0</v>
      </c>
      <c r="R22" s="1">
        <v>22.0</v>
      </c>
      <c r="S22" s="1">
        <v>0.0</v>
      </c>
      <c r="T22" s="1">
        <v>0.0</v>
      </c>
      <c r="U22" s="1" t="s">
        <v>1167</v>
      </c>
      <c r="V22" s="1" t="s">
        <v>1241</v>
      </c>
      <c r="W22" s="1">
        <v>19.0</v>
      </c>
      <c r="X22" s="1">
        <v>3811831.0</v>
      </c>
      <c r="Y22" s="1">
        <v>44.0</v>
      </c>
      <c r="Z22" s="1">
        <v>78.0</v>
      </c>
      <c r="AA22" s="1">
        <v>63.0</v>
      </c>
      <c r="AB22" s="1" t="s">
        <v>1166</v>
      </c>
      <c r="AC22" s="1">
        <v>0.0</v>
      </c>
      <c r="AD22" s="1">
        <v>0.0</v>
      </c>
      <c r="AE22" s="1">
        <v>0.0</v>
      </c>
      <c r="AF22" s="1">
        <v>0.0</v>
      </c>
      <c r="AG22" s="6">
        <v>45611.98952546297</v>
      </c>
      <c r="AH22" s="1">
        <v>93.0</v>
      </c>
      <c r="AI22" s="1">
        <v>170.0</v>
      </c>
      <c r="AJ22" s="1">
        <v>-2.0</v>
      </c>
      <c r="AK22" s="1">
        <v>-2.0</v>
      </c>
      <c r="AL22" s="1">
        <v>-2.0</v>
      </c>
      <c r="AM22" s="1">
        <v>-2.0</v>
      </c>
      <c r="AN22" s="1">
        <v>-2.0</v>
      </c>
      <c r="AO22" s="1">
        <v>95.0</v>
      </c>
      <c r="AP22" s="1">
        <v>-2.0</v>
      </c>
      <c r="AQ22" s="1">
        <v>-2.0</v>
      </c>
      <c r="AR22" s="1">
        <v>-2.0</v>
      </c>
      <c r="AS22" s="1">
        <v>-2.0</v>
      </c>
      <c r="AT22" s="1">
        <v>-2.0</v>
      </c>
      <c r="AU22" s="1">
        <v>-2.0</v>
      </c>
      <c r="AV22" s="1">
        <v>-2.0</v>
      </c>
      <c r="AW22" s="1">
        <v>-2.0</v>
      </c>
      <c r="AX22" s="1">
        <v>-2.0</v>
      </c>
      <c r="AY22" s="1">
        <v>-2.0</v>
      </c>
      <c r="AZ22" s="1">
        <v>-2.0</v>
      </c>
      <c r="BA22" s="1">
        <v>-2.0</v>
      </c>
      <c r="BB22" s="1">
        <v>-2.0</v>
      </c>
      <c r="BC22" s="1">
        <v>-2.0</v>
      </c>
      <c r="BD22" s="1">
        <v>-2.0</v>
      </c>
      <c r="BE22" s="1">
        <v>-2.0</v>
      </c>
      <c r="BF22" s="1">
        <v>-2.0</v>
      </c>
      <c r="BG22" s="1">
        <v>-2.0</v>
      </c>
      <c r="BH22" s="1">
        <v>-2.0</v>
      </c>
      <c r="BI22" s="1">
        <v>-2.0</v>
      </c>
    </row>
    <row r="23">
      <c r="A23" s="3" t="s">
        <v>1242</v>
      </c>
      <c r="B23" s="1">
        <v>91.0</v>
      </c>
      <c r="C23" s="1" t="s">
        <v>1182</v>
      </c>
      <c r="D23" s="1">
        <v>42.0</v>
      </c>
      <c r="E23" s="1">
        <v>895.0</v>
      </c>
      <c r="F23" s="1">
        <v>21.0</v>
      </c>
      <c r="G23" s="1">
        <v>38.0</v>
      </c>
      <c r="H23" s="1" t="s">
        <v>1243</v>
      </c>
      <c r="I23" s="1">
        <v>19.0</v>
      </c>
      <c r="J23" s="1">
        <v>3.0</v>
      </c>
      <c r="K23" s="1">
        <v>20.0</v>
      </c>
      <c r="L23" s="1">
        <v>11.0</v>
      </c>
      <c r="M23" s="1">
        <v>0.0</v>
      </c>
      <c r="N23" s="1">
        <v>-1.0</v>
      </c>
      <c r="O23" s="1" t="s">
        <v>1244</v>
      </c>
      <c r="P23" s="1">
        <v>1376.0</v>
      </c>
      <c r="Q23" s="1">
        <v>623.0</v>
      </c>
      <c r="R23" s="1">
        <v>482.0</v>
      </c>
      <c r="S23" s="1">
        <v>2.0</v>
      </c>
      <c r="T23" s="1">
        <v>2.0</v>
      </c>
      <c r="U23" s="1" t="s">
        <v>1166</v>
      </c>
      <c r="V23" s="1" t="s">
        <v>1245</v>
      </c>
      <c r="W23" s="1">
        <v>14.0</v>
      </c>
      <c r="X23" s="1">
        <v>8647870.0</v>
      </c>
      <c r="Y23" s="1">
        <v>13.0</v>
      </c>
      <c r="Z23" s="1">
        <v>40.0</v>
      </c>
      <c r="AA23" s="1">
        <v>199.0</v>
      </c>
      <c r="AB23" s="1" t="s">
        <v>1166</v>
      </c>
      <c r="AC23" s="1">
        <v>0.0</v>
      </c>
      <c r="AD23" s="1">
        <v>0.0</v>
      </c>
      <c r="AE23" s="1">
        <v>0.0</v>
      </c>
      <c r="AF23" s="1">
        <v>0.0</v>
      </c>
      <c r="AG23" s="6">
        <v>45611.98863425926</v>
      </c>
      <c r="AH23" s="1">
        <v>622.0</v>
      </c>
      <c r="AI23" s="1">
        <v>107.0</v>
      </c>
      <c r="AJ23" s="1">
        <v>91.0</v>
      </c>
      <c r="AK23" s="1">
        <v>-2.0</v>
      </c>
      <c r="AL23" s="1">
        <v>-2.0</v>
      </c>
      <c r="AM23" s="1">
        <v>-2.0</v>
      </c>
      <c r="AN23" s="1">
        <v>-2.0</v>
      </c>
      <c r="AO23" s="1">
        <v>108.0</v>
      </c>
      <c r="AP23" s="1">
        <v>-2.0</v>
      </c>
      <c r="AQ23" s="1">
        <v>390.0</v>
      </c>
      <c r="AR23" s="1">
        <v>-2.0</v>
      </c>
      <c r="AS23" s="1">
        <v>-2.0</v>
      </c>
      <c r="AT23" s="1">
        <v>-2.0</v>
      </c>
      <c r="AU23" s="1">
        <v>-2.0</v>
      </c>
      <c r="AV23" s="1">
        <v>-2.0</v>
      </c>
      <c r="AW23" s="1">
        <v>-2.0</v>
      </c>
      <c r="AX23" s="1">
        <v>-2.0</v>
      </c>
      <c r="AY23" s="1">
        <v>-2.0</v>
      </c>
      <c r="AZ23" s="1">
        <v>-2.0</v>
      </c>
      <c r="BA23" s="1">
        <v>-2.0</v>
      </c>
      <c r="BB23" s="1">
        <v>415.0</v>
      </c>
      <c r="BC23" s="1">
        <v>-2.0</v>
      </c>
      <c r="BD23" s="1">
        <v>-2.0</v>
      </c>
      <c r="BE23" s="1">
        <v>-2.0</v>
      </c>
      <c r="BF23" s="1">
        <v>-2.0</v>
      </c>
      <c r="BG23" s="1">
        <v>-2.0</v>
      </c>
      <c r="BH23" s="1">
        <v>-2.0</v>
      </c>
      <c r="BI23" s="1">
        <v>-2.0</v>
      </c>
    </row>
    <row r="24">
      <c r="A24" s="3" t="s">
        <v>1246</v>
      </c>
      <c r="B24" s="1">
        <v>508.0</v>
      </c>
      <c r="C24" s="1" t="s">
        <v>1174</v>
      </c>
      <c r="D24" s="1">
        <v>19014.0</v>
      </c>
      <c r="E24" s="1">
        <v>208.0</v>
      </c>
      <c r="F24" s="1">
        <v>10.0</v>
      </c>
      <c r="G24" s="1">
        <v>34.0</v>
      </c>
      <c r="H24" s="1" t="s">
        <v>1247</v>
      </c>
      <c r="I24" s="1">
        <v>52.0</v>
      </c>
      <c r="J24" s="1">
        <v>624.0</v>
      </c>
      <c r="K24" s="1">
        <v>3009.0</v>
      </c>
      <c r="L24" s="1">
        <v>4670.0</v>
      </c>
      <c r="M24" s="1">
        <v>0.0</v>
      </c>
      <c r="N24" s="1">
        <v>-1.0</v>
      </c>
      <c r="O24" s="1" t="s">
        <v>1248</v>
      </c>
      <c r="P24" s="1">
        <v>1343.0</v>
      </c>
      <c r="Q24" s="1">
        <v>170.0</v>
      </c>
      <c r="R24" s="1">
        <v>143.0</v>
      </c>
      <c r="S24" s="1">
        <v>0.0</v>
      </c>
      <c r="T24" s="1">
        <v>0.0</v>
      </c>
      <c r="U24" s="1" t="s">
        <v>1249</v>
      </c>
      <c r="V24" s="1" t="s">
        <v>1250</v>
      </c>
      <c r="W24" s="1">
        <v>8.0</v>
      </c>
      <c r="X24" s="1">
        <v>555124.0</v>
      </c>
      <c r="Y24" s="1">
        <v>453.0</v>
      </c>
      <c r="Z24" s="1">
        <v>377.0</v>
      </c>
      <c r="AA24" s="1">
        <v>247.0</v>
      </c>
      <c r="AB24" s="1" t="s">
        <v>1166</v>
      </c>
      <c r="AC24" s="1">
        <v>0.0</v>
      </c>
      <c r="AD24" s="1">
        <v>0.0</v>
      </c>
      <c r="AE24" s="1">
        <v>0.0</v>
      </c>
      <c r="AF24" s="1">
        <v>0.0</v>
      </c>
      <c r="AG24" s="6">
        <v>45744.125393518516</v>
      </c>
      <c r="AH24" s="1">
        <v>508.0</v>
      </c>
      <c r="AI24" s="1">
        <v>824.0</v>
      </c>
      <c r="AJ24" s="1">
        <v>-2.0</v>
      </c>
      <c r="AK24" s="1">
        <v>-2.0</v>
      </c>
      <c r="AL24" s="1">
        <v>-2.0</v>
      </c>
      <c r="AM24" s="1">
        <v>-2.0</v>
      </c>
      <c r="AN24" s="1">
        <v>-2.0</v>
      </c>
      <c r="AO24" s="1">
        <v>693.0</v>
      </c>
      <c r="AP24" s="1">
        <v>-2.0</v>
      </c>
      <c r="AQ24" s="1">
        <v>-2.0</v>
      </c>
      <c r="AR24" s="1">
        <v>-2.0</v>
      </c>
      <c r="AS24" s="1">
        <v>-2.0</v>
      </c>
      <c r="AT24" s="1">
        <v>-2.0</v>
      </c>
      <c r="AU24" s="1">
        <v>-2.0</v>
      </c>
      <c r="AV24" s="1">
        <v>1018.0</v>
      </c>
      <c r="AW24" s="1">
        <v>-2.0</v>
      </c>
      <c r="AX24" s="1">
        <v>643.0</v>
      </c>
      <c r="AY24" s="1">
        <v>-2.0</v>
      </c>
      <c r="AZ24" s="1">
        <v>-2.0</v>
      </c>
      <c r="BA24" s="1">
        <v>894.0</v>
      </c>
      <c r="BB24" s="1">
        <v>745.0</v>
      </c>
      <c r="BC24" s="1">
        <v>-2.0</v>
      </c>
      <c r="BD24" s="1">
        <v>-2.0</v>
      </c>
      <c r="BE24" s="1">
        <v>-2.0</v>
      </c>
      <c r="BF24" s="1">
        <v>-2.0</v>
      </c>
      <c r="BG24" s="1">
        <v>-2.0</v>
      </c>
      <c r="BH24" s="1">
        <v>-2.0</v>
      </c>
      <c r="BI24" s="1">
        <v>-2.0</v>
      </c>
    </row>
    <row r="25">
      <c r="A25" s="3" t="s">
        <v>1251</v>
      </c>
      <c r="B25" s="1">
        <v>30.0</v>
      </c>
      <c r="C25" s="1" t="s">
        <v>1174</v>
      </c>
      <c r="D25" s="1">
        <v>34.0</v>
      </c>
      <c r="E25" s="1">
        <v>25.0</v>
      </c>
      <c r="F25" s="1">
        <v>0.0</v>
      </c>
      <c r="G25" s="1">
        <v>27.0</v>
      </c>
      <c r="I25" s="1">
        <v>3.0</v>
      </c>
      <c r="J25" s="1">
        <v>6.0</v>
      </c>
      <c r="K25" s="1">
        <v>13.0</v>
      </c>
      <c r="L25" s="1">
        <v>7.0</v>
      </c>
      <c r="M25" s="1">
        <v>0.0</v>
      </c>
      <c r="N25" s="1">
        <v>-1.0</v>
      </c>
      <c r="O25" s="1" t="s">
        <v>1252</v>
      </c>
      <c r="P25" s="1">
        <v>60.0</v>
      </c>
      <c r="Q25" s="1">
        <v>15.0</v>
      </c>
      <c r="R25" s="1">
        <v>11.0</v>
      </c>
      <c r="S25" s="1">
        <v>0.0</v>
      </c>
      <c r="T25" s="1">
        <v>0.0</v>
      </c>
      <c r="U25" s="1" t="s">
        <v>1167</v>
      </c>
      <c r="V25" s="1" t="s">
        <v>1241</v>
      </c>
      <c r="W25" s="1">
        <v>6.0</v>
      </c>
      <c r="X25" s="1">
        <v>3.3796267E7</v>
      </c>
      <c r="Y25" s="1">
        <v>4.0</v>
      </c>
      <c r="Z25" s="1">
        <v>15.0</v>
      </c>
      <c r="AA25" s="1">
        <v>12.0</v>
      </c>
      <c r="AB25" s="1" t="s">
        <v>1166</v>
      </c>
      <c r="AC25" s="1">
        <v>0.0</v>
      </c>
      <c r="AD25" s="1">
        <v>0.0</v>
      </c>
      <c r="AE25" s="1">
        <v>0.0</v>
      </c>
      <c r="AF25" s="1">
        <v>0.0</v>
      </c>
      <c r="AG25" s="6">
        <v>46025.129016203704</v>
      </c>
      <c r="AH25" s="1">
        <v>30.0</v>
      </c>
      <c r="AI25" s="1">
        <v>-2.0</v>
      </c>
      <c r="AJ25" s="1">
        <v>-2.0</v>
      </c>
      <c r="AK25" s="1">
        <v>-2.0</v>
      </c>
      <c r="AL25" s="1">
        <v>-2.0</v>
      </c>
      <c r="AM25" s="1">
        <v>-2.0</v>
      </c>
      <c r="AN25" s="1">
        <v>-2.0</v>
      </c>
      <c r="AO25" s="1">
        <v>-2.0</v>
      </c>
      <c r="AP25" s="1">
        <v>-2.0</v>
      </c>
      <c r="AQ25" s="1">
        <v>-2.0</v>
      </c>
      <c r="AR25" s="1">
        <v>-2.0</v>
      </c>
      <c r="AS25" s="1">
        <v>-2.0</v>
      </c>
      <c r="AT25" s="1">
        <v>-2.0</v>
      </c>
      <c r="AU25" s="1">
        <v>-2.0</v>
      </c>
      <c r="AV25" s="1">
        <v>-2.0</v>
      </c>
      <c r="AW25" s="1">
        <v>-2.0</v>
      </c>
      <c r="AX25" s="1">
        <v>-2.0</v>
      </c>
      <c r="AY25" s="1">
        <v>-2.0</v>
      </c>
      <c r="AZ25" s="1">
        <v>-2.0</v>
      </c>
      <c r="BA25" s="1">
        <v>-2.0</v>
      </c>
      <c r="BB25" s="1">
        <v>-2.0</v>
      </c>
      <c r="BC25" s="1">
        <v>-2.0</v>
      </c>
      <c r="BD25" s="1">
        <v>-2.0</v>
      </c>
      <c r="BE25" s="1">
        <v>-2.0</v>
      </c>
      <c r="BF25" s="1">
        <v>-2.0</v>
      </c>
      <c r="BG25" s="1">
        <v>-2.0</v>
      </c>
      <c r="BH25" s="1">
        <v>-2.0</v>
      </c>
      <c r="BI25" s="1">
        <v>-2.0</v>
      </c>
    </row>
    <row r="26">
      <c r="A26" s="3" t="s">
        <v>1253</v>
      </c>
      <c r="B26" s="1">
        <v>1386.0</v>
      </c>
      <c r="C26" s="1" t="s">
        <v>1187</v>
      </c>
      <c r="D26" s="1">
        <v>66699.0</v>
      </c>
      <c r="E26" s="1">
        <v>1419.0</v>
      </c>
      <c r="F26" s="1">
        <v>20.0</v>
      </c>
      <c r="G26" s="1">
        <v>46.0</v>
      </c>
      <c r="H26" s="1" t="s">
        <v>1254</v>
      </c>
      <c r="I26" s="1">
        <v>68.0</v>
      </c>
      <c r="J26" s="1">
        <v>1982.0</v>
      </c>
      <c r="K26" s="1">
        <v>5861.0</v>
      </c>
      <c r="L26" s="1">
        <v>70572.0</v>
      </c>
      <c r="M26" s="1">
        <v>0.0</v>
      </c>
      <c r="N26" s="1">
        <v>-1.0</v>
      </c>
      <c r="O26" s="1" t="s">
        <v>1255</v>
      </c>
      <c r="P26" s="1">
        <v>9034.0</v>
      </c>
      <c r="Q26" s="1">
        <v>932.0</v>
      </c>
      <c r="R26" s="1">
        <v>578.0</v>
      </c>
      <c r="S26" s="1">
        <v>1.0</v>
      </c>
      <c r="T26" s="1">
        <v>0.0</v>
      </c>
      <c r="U26" s="1" t="s">
        <v>1167</v>
      </c>
      <c r="V26" s="1" t="s">
        <v>1256</v>
      </c>
      <c r="W26" s="1">
        <v>21.0</v>
      </c>
      <c r="X26" s="1">
        <v>125351.0</v>
      </c>
      <c r="Y26" s="1">
        <v>883.0</v>
      </c>
      <c r="Z26" s="1">
        <v>579.0</v>
      </c>
      <c r="AA26" s="1">
        <v>246.0</v>
      </c>
      <c r="AB26" s="1" t="s">
        <v>1166</v>
      </c>
      <c r="AC26" s="1">
        <v>0.0</v>
      </c>
      <c r="AD26" s="1">
        <v>0.0</v>
      </c>
      <c r="AE26" s="1">
        <v>0.0</v>
      </c>
      <c r="AF26" s="1">
        <v>0.0</v>
      </c>
      <c r="AG26" s="6">
        <v>45684.11319444444</v>
      </c>
      <c r="AH26" s="1">
        <v>-2.0</v>
      </c>
      <c r="AI26" s="1">
        <v>-2.0</v>
      </c>
      <c r="AJ26" s="1">
        <v>-2.0</v>
      </c>
      <c r="AK26" s="1">
        <v>-2.0</v>
      </c>
      <c r="AL26" s="1">
        <v>-2.0</v>
      </c>
      <c r="AM26" s="1">
        <v>-2.0</v>
      </c>
      <c r="AN26" s="1">
        <v>-2.0</v>
      </c>
      <c r="AO26" s="1">
        <v>1386.0</v>
      </c>
      <c r="AP26" s="1">
        <v>-2.0</v>
      </c>
      <c r="AQ26" s="1">
        <v>-2.0</v>
      </c>
      <c r="AR26" s="1">
        <v>-2.0</v>
      </c>
      <c r="AS26" s="1">
        <v>-2.0</v>
      </c>
      <c r="AT26" s="1">
        <v>-2.0</v>
      </c>
      <c r="AU26" s="1">
        <v>-2.0</v>
      </c>
      <c r="AV26" s="1">
        <v>-2.0</v>
      </c>
      <c r="AW26" s="1">
        <v>-2.0</v>
      </c>
      <c r="AX26" s="1">
        <v>-2.0</v>
      </c>
      <c r="AY26" s="1">
        <v>-2.0</v>
      </c>
      <c r="AZ26" s="1">
        <v>-2.0</v>
      </c>
      <c r="BA26" s="1">
        <v>-2.0</v>
      </c>
      <c r="BB26" s="1">
        <v>-2.0</v>
      </c>
      <c r="BC26" s="1">
        <v>-2.0</v>
      </c>
      <c r="BD26" s="1">
        <v>-2.0</v>
      </c>
      <c r="BE26" s="1">
        <v>-2.0</v>
      </c>
      <c r="BF26" s="1">
        <v>-2.0</v>
      </c>
      <c r="BG26" s="1">
        <v>2310.0</v>
      </c>
      <c r="BH26" s="1">
        <v>-2.0</v>
      </c>
      <c r="BI26" s="1">
        <v>-2.0</v>
      </c>
    </row>
    <row r="27">
      <c r="A27" s="3" t="s">
        <v>1257</v>
      </c>
      <c r="B27" s="1">
        <v>55.0</v>
      </c>
      <c r="C27" s="1" t="s">
        <v>1174</v>
      </c>
      <c r="D27" s="1">
        <v>2.0</v>
      </c>
      <c r="E27" s="1">
        <v>158.0</v>
      </c>
      <c r="F27" s="1">
        <v>18.0</v>
      </c>
      <c r="G27" s="1">
        <v>29.0</v>
      </c>
      <c r="H27" s="1" t="s">
        <v>1258</v>
      </c>
      <c r="I27" s="1">
        <v>25.0</v>
      </c>
      <c r="J27" s="1">
        <v>0.0</v>
      </c>
      <c r="K27" s="1">
        <v>4.0</v>
      </c>
      <c r="L27" s="1">
        <v>1.0</v>
      </c>
      <c r="M27" s="1">
        <v>0.0</v>
      </c>
      <c r="N27" s="1">
        <v>-1.0</v>
      </c>
      <c r="O27" s="1" t="s">
        <v>1259</v>
      </c>
      <c r="P27" s="1">
        <v>353.0</v>
      </c>
      <c r="Q27" s="1">
        <v>123.0</v>
      </c>
      <c r="R27" s="1">
        <v>113.0</v>
      </c>
      <c r="S27" s="1">
        <v>0.0</v>
      </c>
      <c r="T27" s="1">
        <v>0.0</v>
      </c>
      <c r="U27" s="1" t="s">
        <v>1166</v>
      </c>
      <c r="V27" s="1" t="s">
        <v>1241</v>
      </c>
      <c r="W27" s="1">
        <v>0.0</v>
      </c>
      <c r="X27" s="1">
        <v>6004245.0</v>
      </c>
      <c r="Y27" s="1">
        <v>0.0</v>
      </c>
      <c r="Z27" s="1">
        <v>4.0</v>
      </c>
      <c r="AA27" s="1">
        <v>23.0</v>
      </c>
      <c r="AB27" s="1" t="s">
        <v>1166</v>
      </c>
      <c r="AC27" s="1">
        <v>0.0</v>
      </c>
      <c r="AD27" s="1">
        <v>0.0</v>
      </c>
      <c r="AE27" s="1">
        <v>0.0</v>
      </c>
      <c r="AF27" s="1">
        <v>0.0</v>
      </c>
      <c r="AG27" s="6">
        <v>45785.146319444444</v>
      </c>
      <c r="AH27" s="1">
        <v>55.0</v>
      </c>
      <c r="AI27" s="1">
        <v>87.0</v>
      </c>
      <c r="AJ27" s="1">
        <v>-2.0</v>
      </c>
      <c r="AK27" s="1">
        <v>-2.0</v>
      </c>
      <c r="AL27" s="1">
        <v>-2.0</v>
      </c>
      <c r="AM27" s="1">
        <v>-2.0</v>
      </c>
      <c r="AN27" s="1">
        <v>-2.0</v>
      </c>
      <c r="AO27" s="1">
        <v>-2.0</v>
      </c>
      <c r="AP27" s="1">
        <v>-2.0</v>
      </c>
      <c r="AQ27" s="1">
        <v>-2.0</v>
      </c>
      <c r="AR27" s="1">
        <v>-2.0</v>
      </c>
      <c r="AS27" s="1">
        <v>-2.0</v>
      </c>
      <c r="AT27" s="1">
        <v>-2.0</v>
      </c>
      <c r="AU27" s="1">
        <v>-2.0</v>
      </c>
      <c r="AV27" s="1">
        <v>-2.0</v>
      </c>
      <c r="AW27" s="1">
        <v>-2.0</v>
      </c>
      <c r="AX27" s="1">
        <v>-2.0</v>
      </c>
      <c r="AY27" s="1">
        <v>-2.0</v>
      </c>
      <c r="AZ27" s="1">
        <v>-2.0</v>
      </c>
      <c r="BA27" s="1">
        <v>-2.0</v>
      </c>
      <c r="BB27" s="1">
        <v>-2.0</v>
      </c>
      <c r="BC27" s="1">
        <v>-2.0</v>
      </c>
      <c r="BD27" s="1">
        <v>-2.0</v>
      </c>
      <c r="BE27" s="1">
        <v>-2.0</v>
      </c>
      <c r="BF27" s="1">
        <v>-2.0</v>
      </c>
      <c r="BG27" s="1">
        <v>-2.0</v>
      </c>
      <c r="BH27" s="1">
        <v>-2.0</v>
      </c>
      <c r="BI27" s="1">
        <v>-2.0</v>
      </c>
    </row>
    <row r="28">
      <c r="A28" s="3" t="s">
        <v>1260</v>
      </c>
      <c r="B28" s="1">
        <v>4149.0</v>
      </c>
      <c r="C28" s="1" t="s">
        <v>1174</v>
      </c>
      <c r="D28" s="1">
        <v>83933.0</v>
      </c>
      <c r="E28" s="1">
        <v>2461.0</v>
      </c>
      <c r="F28" s="1">
        <v>21.0</v>
      </c>
      <c r="G28" s="1">
        <v>49.0</v>
      </c>
      <c r="H28" s="1" t="s">
        <v>1175</v>
      </c>
      <c r="I28" s="1">
        <v>72.0</v>
      </c>
      <c r="J28" s="1">
        <v>3996.0</v>
      </c>
      <c r="K28" s="1">
        <v>10707.0</v>
      </c>
      <c r="L28" s="1">
        <v>82302.0</v>
      </c>
      <c r="M28" s="1">
        <v>0.0</v>
      </c>
      <c r="N28" s="1">
        <v>-1.0</v>
      </c>
      <c r="O28" s="1" t="s">
        <v>1261</v>
      </c>
      <c r="P28" s="1">
        <v>168474.0</v>
      </c>
      <c r="Q28" s="1">
        <v>1484.0</v>
      </c>
      <c r="R28" s="1">
        <v>969.0</v>
      </c>
      <c r="S28" s="1">
        <v>7.0</v>
      </c>
      <c r="T28" s="1">
        <v>3.0</v>
      </c>
      <c r="U28" s="1" t="s">
        <v>1166</v>
      </c>
      <c r="V28" s="1" t="s">
        <v>1262</v>
      </c>
      <c r="W28" s="1">
        <v>4.0</v>
      </c>
      <c r="X28" s="1">
        <v>66588.0</v>
      </c>
      <c r="Y28" s="1">
        <v>2571.0</v>
      </c>
      <c r="Z28" s="1">
        <v>4346.0</v>
      </c>
      <c r="AA28" s="1">
        <v>2800.0</v>
      </c>
      <c r="AB28" s="1" t="s">
        <v>1166</v>
      </c>
      <c r="AC28" s="1">
        <v>3.0</v>
      </c>
      <c r="AD28" s="1">
        <v>6.0</v>
      </c>
      <c r="AE28" s="1">
        <v>2.0</v>
      </c>
      <c r="AF28" s="1">
        <v>3.0</v>
      </c>
      <c r="AG28" s="6">
        <v>45810.64564814815</v>
      </c>
      <c r="AH28" s="1">
        <v>4149.0</v>
      </c>
      <c r="AI28" s="1">
        <v>-2.0</v>
      </c>
      <c r="AJ28" s="1">
        <v>-2.0</v>
      </c>
      <c r="AK28" s="1">
        <v>-2.0</v>
      </c>
      <c r="AL28" s="1">
        <v>-2.0</v>
      </c>
      <c r="AM28" s="1">
        <v>-2.0</v>
      </c>
      <c r="AN28" s="1">
        <v>-2.0</v>
      </c>
      <c r="AO28" s="1">
        <v>-2.0</v>
      </c>
      <c r="AP28" s="1">
        <v>-2.0</v>
      </c>
      <c r="AQ28" s="1">
        <v>-2.0</v>
      </c>
      <c r="AR28" s="1">
        <v>-2.0</v>
      </c>
      <c r="AS28" s="1">
        <v>-2.0</v>
      </c>
      <c r="AT28" s="1">
        <v>-2.0</v>
      </c>
      <c r="AU28" s="1">
        <v>-2.0</v>
      </c>
      <c r="AV28" s="1">
        <v>-2.0</v>
      </c>
      <c r="AW28" s="1">
        <v>-2.0</v>
      </c>
      <c r="AX28" s="1">
        <v>-2.0</v>
      </c>
      <c r="AY28" s="1">
        <v>-2.0</v>
      </c>
      <c r="AZ28" s="1">
        <v>-2.0</v>
      </c>
      <c r="BA28" s="1">
        <v>-2.0</v>
      </c>
      <c r="BB28" s="1">
        <v>-2.0</v>
      </c>
      <c r="BC28" s="1">
        <v>-2.0</v>
      </c>
      <c r="BD28" s="1">
        <v>-2.0</v>
      </c>
      <c r="BE28" s="1">
        <v>-2.0</v>
      </c>
      <c r="BF28" s="1">
        <v>-2.0</v>
      </c>
      <c r="BG28" s="1">
        <v>-2.0</v>
      </c>
      <c r="BH28" s="1">
        <v>-2.0</v>
      </c>
      <c r="BI28" s="1">
        <v>-2.0</v>
      </c>
    </row>
    <row r="29">
      <c r="A29" s="3" t="s">
        <v>1263</v>
      </c>
      <c r="B29" s="1">
        <v>1210.0</v>
      </c>
      <c r="C29" s="1" t="s">
        <v>1163</v>
      </c>
      <c r="D29" s="1">
        <v>5454.0</v>
      </c>
      <c r="E29" s="1">
        <v>642.0</v>
      </c>
      <c r="F29" s="1">
        <v>17.0</v>
      </c>
      <c r="G29" s="1">
        <v>34.0</v>
      </c>
      <c r="H29" s="1" t="s">
        <v>1264</v>
      </c>
      <c r="I29" s="1">
        <v>47.0</v>
      </c>
      <c r="J29" s="1">
        <v>213.0</v>
      </c>
      <c r="K29" s="1">
        <v>1230.0</v>
      </c>
      <c r="L29" s="1">
        <v>2219.0</v>
      </c>
      <c r="M29" s="1">
        <v>0.0</v>
      </c>
      <c r="N29" s="1">
        <v>-1.0</v>
      </c>
      <c r="O29" s="1" t="s">
        <v>1265</v>
      </c>
      <c r="P29" s="1">
        <v>16987.0</v>
      </c>
      <c r="Q29" s="1">
        <v>332.0</v>
      </c>
      <c r="R29" s="1">
        <v>281.0</v>
      </c>
      <c r="S29" s="1">
        <v>1.0</v>
      </c>
      <c r="T29" s="1">
        <v>0.0</v>
      </c>
      <c r="U29" s="1" t="s">
        <v>1166</v>
      </c>
      <c r="V29" s="1" t="s">
        <v>1167</v>
      </c>
      <c r="W29" s="1">
        <v>0.0</v>
      </c>
      <c r="X29" s="1">
        <v>840344.0</v>
      </c>
      <c r="Y29" s="1">
        <v>211.0</v>
      </c>
      <c r="Z29" s="1">
        <v>183.0</v>
      </c>
      <c r="AA29" s="1">
        <v>221.0</v>
      </c>
      <c r="AB29" s="1" t="s">
        <v>1166</v>
      </c>
      <c r="AC29" s="1">
        <v>0.0</v>
      </c>
      <c r="AD29" s="1">
        <v>0.0</v>
      </c>
      <c r="AE29" s="1">
        <v>0.0</v>
      </c>
      <c r="AF29" s="1">
        <v>0.0</v>
      </c>
      <c r="AG29" s="6">
        <v>45612.00320601852</v>
      </c>
      <c r="AH29" s="1">
        <v>-2.0</v>
      </c>
      <c r="AI29" s="1">
        <v>-2.0</v>
      </c>
      <c r="AJ29" s="1">
        <v>-2.0</v>
      </c>
      <c r="AK29" s="1">
        <v>1303.0</v>
      </c>
      <c r="AL29" s="1">
        <v>1210.0</v>
      </c>
      <c r="AM29" s="1">
        <v>-2.0</v>
      </c>
      <c r="AN29" s="1">
        <v>-2.0</v>
      </c>
      <c r="AO29" s="1">
        <v>1304.0</v>
      </c>
      <c r="AP29" s="1">
        <v>-2.0</v>
      </c>
      <c r="AQ29" s="1">
        <v>-2.0</v>
      </c>
      <c r="AR29" s="1">
        <v>-2.0</v>
      </c>
      <c r="AS29" s="1">
        <v>-2.0</v>
      </c>
      <c r="AT29" s="1">
        <v>-2.0</v>
      </c>
      <c r="AU29" s="1">
        <v>-2.0</v>
      </c>
      <c r="AV29" s="1">
        <v>-2.0</v>
      </c>
      <c r="AW29" s="1">
        <v>-2.0</v>
      </c>
      <c r="AX29" s="1">
        <v>-2.0</v>
      </c>
      <c r="AY29" s="1">
        <v>1570.0</v>
      </c>
      <c r="AZ29" s="1">
        <v>3968.0</v>
      </c>
      <c r="BA29" s="1">
        <v>-2.0</v>
      </c>
      <c r="BB29" s="1">
        <v>-2.0</v>
      </c>
      <c r="BC29" s="1">
        <v>-2.0</v>
      </c>
      <c r="BD29" s="1">
        <v>-2.0</v>
      </c>
      <c r="BE29" s="1">
        <v>-2.0</v>
      </c>
      <c r="BF29" s="1">
        <v>-2.0</v>
      </c>
      <c r="BG29" s="1">
        <v>-2.0</v>
      </c>
      <c r="BH29" s="1">
        <v>-2.0</v>
      </c>
      <c r="BI29" s="1">
        <v>-2.0</v>
      </c>
    </row>
    <row r="30">
      <c r="A30" s="3" t="s">
        <v>1266</v>
      </c>
      <c r="B30" s="1">
        <v>694.0</v>
      </c>
      <c r="C30" s="1" t="s">
        <v>1174</v>
      </c>
      <c r="D30" s="1">
        <v>6467.0</v>
      </c>
      <c r="E30" s="1">
        <v>1727.0</v>
      </c>
      <c r="F30" s="1">
        <v>28.0</v>
      </c>
      <c r="G30" s="1">
        <v>43.0</v>
      </c>
      <c r="H30" s="1" t="s">
        <v>1164</v>
      </c>
      <c r="I30" s="1">
        <v>70.0</v>
      </c>
      <c r="J30" s="1">
        <v>454.0</v>
      </c>
      <c r="K30" s="1">
        <v>1638.0</v>
      </c>
      <c r="L30" s="1">
        <v>1939.0</v>
      </c>
      <c r="M30" s="1">
        <v>1.0</v>
      </c>
      <c r="N30" s="1">
        <v>-1.0</v>
      </c>
      <c r="O30" s="1" t="s">
        <v>1267</v>
      </c>
      <c r="P30" s="1">
        <v>98949.0</v>
      </c>
      <c r="Q30" s="1">
        <v>975.0</v>
      </c>
      <c r="R30" s="1">
        <v>716.0</v>
      </c>
      <c r="S30" s="1">
        <v>1.0</v>
      </c>
      <c r="T30" s="1">
        <v>0.0</v>
      </c>
      <c r="U30" s="1" t="s">
        <v>1167</v>
      </c>
      <c r="V30" s="1" t="s">
        <v>1167</v>
      </c>
      <c r="W30" s="1">
        <v>7.0</v>
      </c>
      <c r="X30" s="1">
        <v>112789.0</v>
      </c>
      <c r="Y30" s="1">
        <v>295.0</v>
      </c>
      <c r="Z30" s="1">
        <v>651.0</v>
      </c>
      <c r="AA30" s="1">
        <v>1092.0</v>
      </c>
      <c r="AB30" s="1" t="s">
        <v>1166</v>
      </c>
      <c r="AC30" s="1">
        <v>0.0</v>
      </c>
      <c r="AD30" s="1">
        <v>0.0</v>
      </c>
      <c r="AE30" s="1">
        <v>0.0</v>
      </c>
      <c r="AF30" s="1">
        <v>0.0</v>
      </c>
      <c r="AG30" s="6">
        <v>45612.00318287037</v>
      </c>
      <c r="AH30" s="1">
        <v>694.0</v>
      </c>
      <c r="AI30" s="1">
        <v>1604.0</v>
      </c>
      <c r="AJ30" s="1">
        <v>-2.0</v>
      </c>
      <c r="AK30" s="1">
        <v>955.0</v>
      </c>
      <c r="AL30" s="1">
        <v>796.0</v>
      </c>
      <c r="AM30" s="1">
        <v>-2.0</v>
      </c>
      <c r="AN30" s="1">
        <v>-2.0</v>
      </c>
      <c r="AO30" s="1">
        <v>795.0</v>
      </c>
      <c r="AP30" s="1">
        <v>1014.0</v>
      </c>
      <c r="AQ30" s="1">
        <v>-2.0</v>
      </c>
      <c r="AR30" s="1">
        <v>1175.0</v>
      </c>
      <c r="AS30" s="1">
        <v>790.0</v>
      </c>
      <c r="AT30" s="1">
        <v>-2.0</v>
      </c>
      <c r="AU30" s="1">
        <v>-2.0</v>
      </c>
      <c r="AV30" s="1">
        <v>1764.0</v>
      </c>
      <c r="AW30" s="1">
        <v>-2.0</v>
      </c>
      <c r="AX30" s="1">
        <v>-2.0</v>
      </c>
      <c r="AY30" s="1">
        <v>956.0</v>
      </c>
      <c r="AZ30" s="1">
        <v>1763.0</v>
      </c>
      <c r="BA30" s="1">
        <v>-2.0</v>
      </c>
      <c r="BB30" s="1">
        <v>1275.0</v>
      </c>
      <c r="BC30" s="1">
        <v>1150.0</v>
      </c>
      <c r="BD30" s="1">
        <v>-2.0</v>
      </c>
      <c r="BE30" s="1">
        <v>-2.0</v>
      </c>
      <c r="BF30" s="1">
        <v>-2.0</v>
      </c>
      <c r="BG30" s="1">
        <v>-2.0</v>
      </c>
      <c r="BH30" s="1">
        <v>-2.0</v>
      </c>
      <c r="BI30" s="1">
        <v>-2.0</v>
      </c>
    </row>
    <row r="31">
      <c r="A31" s="3" t="s">
        <v>1268</v>
      </c>
      <c r="B31" s="1">
        <v>2000.0</v>
      </c>
      <c r="C31" s="1" t="s">
        <v>1144</v>
      </c>
      <c r="D31" s="1">
        <v>1.3468748E7</v>
      </c>
      <c r="E31" s="1">
        <v>44300.0</v>
      </c>
      <c r="F31" s="1">
        <v>42.0</v>
      </c>
      <c r="G31" s="1">
        <v>67.0</v>
      </c>
      <c r="H31" s="1" t="s">
        <v>1188</v>
      </c>
      <c r="I31" s="1">
        <v>89.0</v>
      </c>
      <c r="J31" s="1">
        <v>67939.0</v>
      </c>
      <c r="K31" s="1">
        <v>238649.0</v>
      </c>
      <c r="L31" s="1">
        <v>1599579.0</v>
      </c>
      <c r="M31" s="1">
        <v>1.0</v>
      </c>
      <c r="N31" s="1">
        <v>-1.0</v>
      </c>
      <c r="O31" s="1" t="s">
        <v>1269</v>
      </c>
      <c r="P31" s="1">
        <v>2.0067689E7</v>
      </c>
      <c r="Q31" s="1">
        <v>23605.0</v>
      </c>
      <c r="R31" s="1">
        <v>11795.0</v>
      </c>
      <c r="S31" s="1">
        <v>76.0</v>
      </c>
      <c r="T31" s="1">
        <v>18.0</v>
      </c>
      <c r="U31" s="1" t="s">
        <v>1167</v>
      </c>
      <c r="V31" s="1" t="s">
        <v>1270</v>
      </c>
      <c r="W31" s="1">
        <v>39.0</v>
      </c>
      <c r="X31" s="1">
        <v>1996.0</v>
      </c>
      <c r="Y31" s="1">
        <v>60864.0</v>
      </c>
      <c r="Z31" s="1">
        <v>83753.0</v>
      </c>
      <c r="AA31" s="1">
        <v>83768.0</v>
      </c>
      <c r="AB31" s="1" t="s">
        <v>1166</v>
      </c>
      <c r="AC31" s="1">
        <v>0.0</v>
      </c>
      <c r="AD31" s="1">
        <v>0.0</v>
      </c>
      <c r="AE31" s="1">
        <v>0.0</v>
      </c>
      <c r="AF31" s="1">
        <v>0.0</v>
      </c>
      <c r="AG31" s="6">
        <v>45611.983078703706</v>
      </c>
      <c r="AH31" s="1">
        <v>3884.0</v>
      </c>
      <c r="AI31" s="1">
        <v>-2.0</v>
      </c>
      <c r="AJ31" s="1">
        <v>-2.0</v>
      </c>
      <c r="AK31" s="1">
        <v>2389.0</v>
      </c>
      <c r="AL31" s="1">
        <v>2230.0</v>
      </c>
      <c r="AM31" s="1">
        <v>-2.0</v>
      </c>
      <c r="AN31" s="1">
        <v>-2.0</v>
      </c>
      <c r="AO31" s="1">
        <v>2800.0</v>
      </c>
      <c r="AP31" s="1">
        <v>2832.0</v>
      </c>
      <c r="AQ31" s="1">
        <v>2100.0</v>
      </c>
      <c r="AR31" s="1">
        <v>2000.0</v>
      </c>
      <c r="AS31" s="1">
        <v>2390.0</v>
      </c>
      <c r="AT31" s="1">
        <v>2572.0</v>
      </c>
      <c r="AU31" s="1">
        <v>-2.0</v>
      </c>
      <c r="AV31" s="1">
        <v>-2.0</v>
      </c>
      <c r="AW31" s="1">
        <v>-2.0</v>
      </c>
      <c r="AX31" s="1">
        <v>-2.0</v>
      </c>
      <c r="AY31" s="1">
        <v>2300.0</v>
      </c>
      <c r="AZ31" s="1">
        <v>6928.0</v>
      </c>
      <c r="BA31" s="1">
        <v>-2.0</v>
      </c>
      <c r="BB31" s="1">
        <v>-2.0</v>
      </c>
      <c r="BC31" s="1">
        <v>-2.0</v>
      </c>
      <c r="BD31" s="1">
        <v>-2.0</v>
      </c>
      <c r="BE31" s="1">
        <v>-2.0</v>
      </c>
      <c r="BF31" s="1">
        <v>-2.0</v>
      </c>
      <c r="BG31" s="1">
        <v>-2.0</v>
      </c>
      <c r="BH31" s="1">
        <v>-2.0</v>
      </c>
      <c r="BI31" s="1">
        <v>-2.0</v>
      </c>
    </row>
    <row r="32">
      <c r="A32" s="3" t="s">
        <v>1271</v>
      </c>
      <c r="B32" s="1">
        <v>30.0</v>
      </c>
      <c r="C32" s="1" t="s">
        <v>1272</v>
      </c>
      <c r="D32" s="1">
        <v>71.0</v>
      </c>
      <c r="E32" s="1">
        <v>164.0</v>
      </c>
      <c r="F32" s="1">
        <v>34.0</v>
      </c>
      <c r="G32" s="1">
        <v>30.0</v>
      </c>
      <c r="H32" s="1" t="s">
        <v>1273</v>
      </c>
      <c r="I32" s="1">
        <v>5.0</v>
      </c>
      <c r="J32" s="1">
        <v>3.0</v>
      </c>
      <c r="K32" s="1">
        <v>11.0</v>
      </c>
      <c r="L32" s="1">
        <v>81.0</v>
      </c>
      <c r="M32" s="1">
        <v>0.0</v>
      </c>
      <c r="N32" s="1">
        <v>-1.0</v>
      </c>
      <c r="O32" s="1" t="s">
        <v>1274</v>
      </c>
      <c r="P32" s="1">
        <v>482.0</v>
      </c>
      <c r="Q32" s="1">
        <v>57.0</v>
      </c>
      <c r="R32" s="1">
        <v>53.0</v>
      </c>
      <c r="S32" s="1">
        <v>0.0</v>
      </c>
      <c r="T32" s="1">
        <v>0.0</v>
      </c>
      <c r="U32" s="1" t="s">
        <v>1167</v>
      </c>
      <c r="V32" s="1" t="s">
        <v>1275</v>
      </c>
      <c r="W32" s="1">
        <v>0.0</v>
      </c>
      <c r="X32" s="1">
        <v>2.6996814E7</v>
      </c>
      <c r="Y32" s="1">
        <v>9.0</v>
      </c>
      <c r="Z32" s="1">
        <v>13.0</v>
      </c>
      <c r="AA32" s="1">
        <v>24.0</v>
      </c>
      <c r="AB32" s="1" t="s">
        <v>1166</v>
      </c>
      <c r="AC32" s="1">
        <v>0.0</v>
      </c>
      <c r="AD32" s="1">
        <v>0.0</v>
      </c>
      <c r="AE32" s="1">
        <v>0.0</v>
      </c>
      <c r="AF32" s="1">
        <v>0.0</v>
      </c>
      <c r="AG32" s="6">
        <v>45684.868310185186</v>
      </c>
      <c r="AH32" s="1">
        <v>-2.0</v>
      </c>
      <c r="AI32" s="1">
        <v>-2.0</v>
      </c>
      <c r="AJ32" s="1">
        <v>-2.0</v>
      </c>
      <c r="AK32" s="1">
        <v>-2.0</v>
      </c>
      <c r="AL32" s="1">
        <v>-2.0</v>
      </c>
      <c r="AM32" s="1">
        <v>30.0</v>
      </c>
      <c r="AN32" s="1">
        <v>-2.0</v>
      </c>
      <c r="AO32" s="1">
        <v>-2.0</v>
      </c>
      <c r="AP32" s="1">
        <v>-2.0</v>
      </c>
      <c r="AQ32" s="1">
        <v>-2.0</v>
      </c>
      <c r="AR32" s="1">
        <v>-2.0</v>
      </c>
      <c r="AS32" s="1">
        <v>-2.0</v>
      </c>
      <c r="AT32" s="1">
        <v>-2.0</v>
      </c>
      <c r="AU32" s="1">
        <v>-2.0</v>
      </c>
      <c r="AV32" s="1">
        <v>-2.0</v>
      </c>
      <c r="AW32" s="1">
        <v>-2.0</v>
      </c>
      <c r="AX32" s="1">
        <v>-2.0</v>
      </c>
      <c r="AY32" s="1">
        <v>-2.0</v>
      </c>
      <c r="AZ32" s="1">
        <v>-2.0</v>
      </c>
      <c r="BA32" s="1">
        <v>-2.0</v>
      </c>
      <c r="BB32" s="1">
        <v>-2.0</v>
      </c>
      <c r="BC32" s="1">
        <v>-2.0</v>
      </c>
      <c r="BD32" s="1">
        <v>-2.0</v>
      </c>
      <c r="BE32" s="1">
        <v>-2.0</v>
      </c>
      <c r="BF32" s="1">
        <v>-2.0</v>
      </c>
      <c r="BG32" s="1">
        <v>-2.0</v>
      </c>
      <c r="BH32" s="1">
        <v>-2.0</v>
      </c>
      <c r="BI32" s="1">
        <v>-2.0</v>
      </c>
    </row>
    <row r="33">
      <c r="A33" s="3" t="s">
        <v>1276</v>
      </c>
      <c r="B33" s="1">
        <v>198.0</v>
      </c>
      <c r="C33" s="1" t="s">
        <v>1145</v>
      </c>
      <c r="D33" s="1">
        <v>419.0</v>
      </c>
      <c r="E33" s="1">
        <v>340.0</v>
      </c>
      <c r="F33" s="1">
        <v>34.0</v>
      </c>
      <c r="G33" s="1">
        <v>35.0</v>
      </c>
      <c r="H33" s="1" t="s">
        <v>1277</v>
      </c>
      <c r="I33" s="1">
        <v>41.0</v>
      </c>
      <c r="J33" s="1">
        <v>33.0</v>
      </c>
      <c r="K33" s="1">
        <v>67.0</v>
      </c>
      <c r="L33" s="1">
        <v>68.0</v>
      </c>
      <c r="M33" s="1">
        <v>1.0</v>
      </c>
      <c r="N33" s="1">
        <v>-1.0</v>
      </c>
      <c r="O33" s="1" t="s">
        <v>1278</v>
      </c>
      <c r="P33" s="1">
        <v>4245.0</v>
      </c>
      <c r="Q33" s="1">
        <v>258.0</v>
      </c>
      <c r="R33" s="1">
        <v>212.0</v>
      </c>
      <c r="S33" s="1">
        <v>1.0</v>
      </c>
      <c r="T33" s="1">
        <v>0.0</v>
      </c>
      <c r="U33" s="1" t="s">
        <v>1166</v>
      </c>
      <c r="V33" s="1" t="s">
        <v>1228</v>
      </c>
      <c r="W33" s="1">
        <v>0.0</v>
      </c>
      <c r="X33" s="1">
        <v>1390518.0</v>
      </c>
      <c r="Y33" s="1">
        <v>15.0</v>
      </c>
      <c r="Z33" s="1">
        <v>138.0</v>
      </c>
      <c r="AA33" s="1">
        <v>845.0</v>
      </c>
      <c r="AB33" s="1" t="s">
        <v>1166</v>
      </c>
      <c r="AC33" s="1">
        <v>0.0</v>
      </c>
      <c r="AD33" s="1">
        <v>0.0</v>
      </c>
      <c r="AE33" s="1">
        <v>0.0</v>
      </c>
      <c r="AF33" s="1">
        <v>0.0</v>
      </c>
      <c r="AG33" s="6">
        <v>45612.00818287037</v>
      </c>
      <c r="AH33" s="1">
        <v>204.0</v>
      </c>
      <c r="AI33" s="1">
        <v>199.0</v>
      </c>
      <c r="AJ33" s="1">
        <v>-2.0</v>
      </c>
      <c r="AK33" s="1">
        <v>-2.0</v>
      </c>
      <c r="AL33" s="1">
        <v>-2.0</v>
      </c>
      <c r="AM33" s="1">
        <v>-2.0</v>
      </c>
      <c r="AN33" s="1">
        <v>-2.0</v>
      </c>
      <c r="AO33" s="1">
        <v>308.0</v>
      </c>
      <c r="AP33" s="1">
        <v>-2.0</v>
      </c>
      <c r="AQ33" s="1">
        <v>-2.0</v>
      </c>
      <c r="AR33" s="1">
        <v>-2.0</v>
      </c>
      <c r="AS33" s="1">
        <v>198.0</v>
      </c>
      <c r="AT33" s="1">
        <v>-2.0</v>
      </c>
      <c r="AU33" s="1">
        <v>-2.0</v>
      </c>
      <c r="AV33" s="1">
        <v>-2.0</v>
      </c>
      <c r="AW33" s="1">
        <v>-2.0</v>
      </c>
      <c r="AX33" s="1">
        <v>-2.0</v>
      </c>
      <c r="AY33" s="1">
        <v>-2.0</v>
      </c>
      <c r="AZ33" s="1">
        <v>-2.0</v>
      </c>
      <c r="BA33" s="1">
        <v>488.0</v>
      </c>
      <c r="BB33" s="1">
        <v>-2.0</v>
      </c>
      <c r="BC33" s="1">
        <v>255.0</v>
      </c>
      <c r="BD33" s="1">
        <v>-2.0</v>
      </c>
      <c r="BE33" s="1">
        <v>-2.0</v>
      </c>
      <c r="BF33" s="1">
        <v>-2.0</v>
      </c>
      <c r="BG33" s="1">
        <v>-2.0</v>
      </c>
      <c r="BH33" s="1">
        <v>-2.0</v>
      </c>
      <c r="BI33" s="1">
        <v>-2.0</v>
      </c>
    </row>
    <row r="34">
      <c r="A34" s="3" t="s">
        <v>1279</v>
      </c>
      <c r="B34" s="1">
        <v>30.0</v>
      </c>
      <c r="C34" s="1" t="s">
        <v>1272</v>
      </c>
      <c r="D34" s="1">
        <v>0.0</v>
      </c>
      <c r="E34" s="1">
        <v>42.0</v>
      </c>
      <c r="F34" s="1">
        <v>14.0</v>
      </c>
      <c r="G34" s="1">
        <v>27.0</v>
      </c>
      <c r="H34" s="1" t="s">
        <v>1280</v>
      </c>
      <c r="I34" s="1">
        <v>1.0</v>
      </c>
      <c r="J34" s="1">
        <v>0.0</v>
      </c>
      <c r="K34" s="1">
        <v>0.0</v>
      </c>
      <c r="L34" s="1">
        <v>0.0</v>
      </c>
      <c r="M34" s="1">
        <v>0.0</v>
      </c>
      <c r="N34" s="1">
        <v>-1.0</v>
      </c>
      <c r="O34" s="1" t="s">
        <v>1281</v>
      </c>
      <c r="P34" s="1">
        <v>159.0</v>
      </c>
      <c r="Q34" s="1">
        <v>32.0</v>
      </c>
      <c r="R34" s="1">
        <v>28.0</v>
      </c>
      <c r="S34" s="1">
        <v>0.0</v>
      </c>
      <c r="T34" s="1">
        <v>0.0</v>
      </c>
      <c r="U34" s="1" t="s">
        <v>1166</v>
      </c>
      <c r="V34" s="1" t="s">
        <v>1167</v>
      </c>
      <c r="W34" s="1">
        <v>0.0</v>
      </c>
      <c r="X34" s="1">
        <v>4.5782593E7</v>
      </c>
      <c r="Y34" s="1">
        <v>1.0</v>
      </c>
      <c r="Z34" s="1">
        <v>0.0</v>
      </c>
      <c r="AA34" s="1">
        <v>7.0</v>
      </c>
      <c r="AC34" s="1">
        <v>0.0</v>
      </c>
      <c r="AD34" s="1">
        <v>0.0</v>
      </c>
      <c r="AE34" s="1">
        <v>0.0</v>
      </c>
      <c r="AF34" s="1">
        <v>0.0</v>
      </c>
      <c r="AG34" s="6">
        <v>45684.868310185186</v>
      </c>
      <c r="AH34" s="1">
        <v>-2.0</v>
      </c>
      <c r="AI34" s="1">
        <v>-2.0</v>
      </c>
      <c r="AJ34" s="1">
        <v>-2.0</v>
      </c>
      <c r="AK34" s="1">
        <v>-2.0</v>
      </c>
      <c r="AL34" s="1">
        <v>-2.0</v>
      </c>
      <c r="AM34" s="1">
        <v>30.0</v>
      </c>
      <c r="AN34" s="1">
        <v>-2.0</v>
      </c>
      <c r="AO34" s="1">
        <v>-2.0</v>
      </c>
      <c r="AP34" s="1">
        <v>-2.0</v>
      </c>
      <c r="AQ34" s="1">
        <v>-2.0</v>
      </c>
      <c r="AR34" s="1">
        <v>-2.0</v>
      </c>
      <c r="AS34" s="1">
        <v>-2.0</v>
      </c>
      <c r="AT34" s="1">
        <v>-2.0</v>
      </c>
      <c r="AU34" s="1">
        <v>-2.0</v>
      </c>
      <c r="AV34" s="1">
        <v>-2.0</v>
      </c>
      <c r="AW34" s="1">
        <v>-2.0</v>
      </c>
      <c r="AX34" s="1">
        <v>-2.0</v>
      </c>
      <c r="AY34" s="1">
        <v>-2.0</v>
      </c>
      <c r="AZ34" s="1">
        <v>-2.0</v>
      </c>
      <c r="BA34" s="1">
        <v>-2.0</v>
      </c>
      <c r="BB34" s="1">
        <v>-2.0</v>
      </c>
      <c r="BC34" s="1">
        <v>-2.0</v>
      </c>
      <c r="BD34" s="1">
        <v>-2.0</v>
      </c>
      <c r="BE34" s="1">
        <v>-2.0</v>
      </c>
      <c r="BF34" s="1">
        <v>-2.0</v>
      </c>
      <c r="BG34" s="1">
        <v>-2.0</v>
      </c>
      <c r="BH34" s="1">
        <v>-2.0</v>
      </c>
      <c r="BI34" s="1">
        <v>-2.0</v>
      </c>
    </row>
    <row r="35">
      <c r="A35" s="3" t="s">
        <v>1282</v>
      </c>
      <c r="B35" s="1">
        <v>3215.0</v>
      </c>
      <c r="C35" s="1" t="s">
        <v>1283</v>
      </c>
      <c r="D35" s="1">
        <v>77157.0</v>
      </c>
      <c r="E35" s="1">
        <v>1205.0</v>
      </c>
      <c r="F35" s="1">
        <v>17.0</v>
      </c>
      <c r="G35" s="1">
        <v>46.0</v>
      </c>
      <c r="H35" s="1" t="s">
        <v>1233</v>
      </c>
      <c r="I35" s="1">
        <v>60.0</v>
      </c>
      <c r="J35" s="1">
        <v>5124.0</v>
      </c>
      <c r="K35" s="1">
        <v>4682.0</v>
      </c>
      <c r="L35" s="1">
        <v>16886.0</v>
      </c>
      <c r="M35" s="1">
        <v>0.0</v>
      </c>
      <c r="N35" s="1">
        <v>-1.0</v>
      </c>
      <c r="O35" s="1" t="s">
        <v>1284</v>
      </c>
      <c r="P35" s="1">
        <v>9114.0</v>
      </c>
      <c r="Q35" s="1">
        <v>711.0</v>
      </c>
      <c r="R35" s="1">
        <v>537.0</v>
      </c>
      <c r="S35" s="1">
        <v>1.0</v>
      </c>
      <c r="T35" s="1">
        <v>0.0</v>
      </c>
      <c r="U35" s="1" t="s">
        <v>1167</v>
      </c>
      <c r="V35" s="1" t="s">
        <v>1285</v>
      </c>
      <c r="W35" s="1">
        <v>0.0</v>
      </c>
      <c r="X35" s="1">
        <v>279651.0</v>
      </c>
      <c r="Y35" s="1">
        <v>454.0</v>
      </c>
      <c r="Z35" s="1">
        <v>419.0</v>
      </c>
      <c r="AA35" s="1">
        <v>289.0</v>
      </c>
      <c r="AB35" s="1" t="s">
        <v>1166</v>
      </c>
      <c r="AC35" s="1">
        <v>0.0</v>
      </c>
      <c r="AD35" s="1">
        <v>0.0</v>
      </c>
      <c r="AE35" s="1">
        <v>0.0</v>
      </c>
      <c r="AF35" s="1">
        <v>0.0</v>
      </c>
      <c r="AG35" s="6">
        <v>45612.00318287037</v>
      </c>
      <c r="AH35" s="1">
        <v>-2.0</v>
      </c>
      <c r="AI35" s="1">
        <v>-2.0</v>
      </c>
      <c r="AJ35" s="1">
        <v>-2.0</v>
      </c>
      <c r="AK35" s="1">
        <v>-2.0</v>
      </c>
      <c r="AL35" s="1">
        <v>-2.0</v>
      </c>
      <c r="AM35" s="1">
        <v>-2.0</v>
      </c>
      <c r="AN35" s="1">
        <v>-2.0</v>
      </c>
      <c r="AO35" s="1">
        <v>6653.0</v>
      </c>
      <c r="AP35" s="1">
        <v>-2.0</v>
      </c>
      <c r="AQ35" s="1">
        <v>-2.0</v>
      </c>
      <c r="AR35" s="1">
        <v>-2.0</v>
      </c>
      <c r="AS35" s="1">
        <v>-2.0</v>
      </c>
      <c r="AT35" s="1">
        <v>-2.0</v>
      </c>
      <c r="AU35" s="1">
        <v>-2.0</v>
      </c>
      <c r="AV35" s="1">
        <v>-2.0</v>
      </c>
      <c r="AW35" s="1">
        <v>-2.0</v>
      </c>
      <c r="AX35" s="1">
        <v>-2.0</v>
      </c>
      <c r="AY35" s="1">
        <v>3215.0</v>
      </c>
      <c r="AZ35" s="1">
        <v>4656.0</v>
      </c>
      <c r="BA35" s="1">
        <v>-2.0</v>
      </c>
      <c r="BB35" s="1">
        <v>-2.0</v>
      </c>
      <c r="BC35" s="1">
        <v>-2.0</v>
      </c>
      <c r="BD35" s="1">
        <v>-2.0</v>
      </c>
      <c r="BE35" s="1">
        <v>-2.0</v>
      </c>
      <c r="BF35" s="1">
        <v>-2.0</v>
      </c>
      <c r="BG35" s="1">
        <v>-2.0</v>
      </c>
      <c r="BH35" s="1">
        <v>-2.0</v>
      </c>
      <c r="BI35" s="1">
        <v>-2.0</v>
      </c>
    </row>
    <row r="36">
      <c r="A36" s="3" t="s">
        <v>1286</v>
      </c>
      <c r="B36" s="1">
        <v>930.0</v>
      </c>
      <c r="C36" s="1" t="s">
        <v>1174</v>
      </c>
      <c r="D36" s="1">
        <v>98229.0</v>
      </c>
      <c r="E36" s="1">
        <v>1828.0</v>
      </c>
      <c r="F36" s="1">
        <v>26.0</v>
      </c>
      <c r="G36" s="1">
        <v>41.0</v>
      </c>
      <c r="H36" s="1" t="s">
        <v>1193</v>
      </c>
      <c r="I36" s="1">
        <v>64.0</v>
      </c>
      <c r="J36" s="1">
        <v>7037.0</v>
      </c>
      <c r="K36" s="1">
        <v>10220.0</v>
      </c>
      <c r="L36" s="1">
        <v>25130.0</v>
      </c>
      <c r="M36" s="1">
        <v>1.0</v>
      </c>
      <c r="N36" s="1">
        <v>-1.0</v>
      </c>
      <c r="O36" s="1" t="s">
        <v>1287</v>
      </c>
      <c r="P36" s="1">
        <v>58963.0</v>
      </c>
      <c r="Q36" s="1">
        <v>1015.0</v>
      </c>
      <c r="R36" s="1">
        <v>717.0</v>
      </c>
      <c r="S36" s="1">
        <v>3.0</v>
      </c>
      <c r="T36" s="1">
        <v>0.0</v>
      </c>
      <c r="U36" s="1" t="s">
        <v>1166</v>
      </c>
      <c r="V36" s="1" t="s">
        <v>1167</v>
      </c>
      <c r="W36" s="1">
        <v>4.0</v>
      </c>
      <c r="X36" s="1">
        <v>182295.0</v>
      </c>
      <c r="Y36" s="1">
        <v>1539.0</v>
      </c>
      <c r="Z36" s="1">
        <v>2099.0</v>
      </c>
      <c r="AA36" s="1">
        <v>1696.0</v>
      </c>
      <c r="AB36" s="1" t="s">
        <v>1166</v>
      </c>
      <c r="AC36" s="1">
        <v>0.0</v>
      </c>
      <c r="AD36" s="1">
        <v>0.0</v>
      </c>
      <c r="AE36" s="1">
        <v>0.0</v>
      </c>
      <c r="AF36" s="1">
        <v>0.0</v>
      </c>
      <c r="AG36" s="6">
        <v>45611.97976851852</v>
      </c>
      <c r="AH36" s="1">
        <v>930.0</v>
      </c>
      <c r="AI36" s="1">
        <v>-2.0</v>
      </c>
      <c r="AJ36" s="1">
        <v>-2.0</v>
      </c>
      <c r="AK36" s="1">
        <v>-2.0</v>
      </c>
      <c r="AL36" s="1">
        <v>-2.0</v>
      </c>
      <c r="AM36" s="1">
        <v>-2.0</v>
      </c>
      <c r="AN36" s="1">
        <v>-2.0</v>
      </c>
      <c r="AO36" s="1">
        <v>2717.0</v>
      </c>
      <c r="AP36" s="1">
        <v>-2.0</v>
      </c>
      <c r="AQ36" s="1">
        <v>-2.0</v>
      </c>
      <c r="AR36" s="1">
        <v>-2.0</v>
      </c>
      <c r="AS36" s="1">
        <v>-2.0</v>
      </c>
      <c r="AT36" s="1">
        <v>-2.0</v>
      </c>
      <c r="AU36" s="1">
        <v>-2.0</v>
      </c>
      <c r="AV36" s="1">
        <v>-2.0</v>
      </c>
      <c r="AW36" s="1">
        <v>-2.0</v>
      </c>
      <c r="AX36" s="1">
        <v>-2.0</v>
      </c>
      <c r="AY36" s="1">
        <v>-2.0</v>
      </c>
      <c r="AZ36" s="1">
        <v>3554.0</v>
      </c>
      <c r="BA36" s="1">
        <v>-2.0</v>
      </c>
      <c r="BB36" s="1">
        <v>-2.0</v>
      </c>
      <c r="BC36" s="1">
        <v>1145.0</v>
      </c>
      <c r="BD36" s="1">
        <v>-2.0</v>
      </c>
      <c r="BE36" s="1">
        <v>-2.0</v>
      </c>
      <c r="BF36" s="1">
        <v>-2.0</v>
      </c>
      <c r="BG36" s="1">
        <v>-2.0</v>
      </c>
      <c r="BH36" s="1">
        <v>-2.0</v>
      </c>
      <c r="BI36" s="1">
        <v>-2.0</v>
      </c>
    </row>
    <row r="37">
      <c r="A37" s="3" t="s">
        <v>1288</v>
      </c>
      <c r="B37" s="1">
        <v>16.0</v>
      </c>
      <c r="C37" s="1" t="s">
        <v>1174</v>
      </c>
      <c r="D37" s="1">
        <v>6.0</v>
      </c>
      <c r="E37" s="1">
        <v>169.0</v>
      </c>
      <c r="F37" s="1">
        <v>5.0</v>
      </c>
      <c r="G37" s="1">
        <v>25.0</v>
      </c>
      <c r="H37" s="1" t="s">
        <v>1289</v>
      </c>
      <c r="I37" s="1">
        <v>8.0</v>
      </c>
      <c r="J37" s="1">
        <v>0.0</v>
      </c>
      <c r="K37" s="1">
        <v>9.0</v>
      </c>
      <c r="L37" s="1">
        <v>0.0</v>
      </c>
      <c r="M37" s="1">
        <v>0.0</v>
      </c>
      <c r="N37" s="1">
        <v>-1.0</v>
      </c>
      <c r="O37" s="1" t="s">
        <v>1290</v>
      </c>
      <c r="P37" s="1">
        <v>321.0</v>
      </c>
      <c r="Q37" s="1">
        <v>63.0</v>
      </c>
      <c r="R37" s="1">
        <v>57.0</v>
      </c>
      <c r="S37" s="1">
        <v>0.0</v>
      </c>
      <c r="T37" s="1">
        <v>0.0</v>
      </c>
      <c r="U37" s="1" t="s">
        <v>1167</v>
      </c>
      <c r="V37" s="1" t="s">
        <v>1291</v>
      </c>
      <c r="W37" s="1">
        <v>4.0</v>
      </c>
      <c r="X37" s="1">
        <v>2.0080292E7</v>
      </c>
      <c r="Y37" s="1">
        <v>4.0</v>
      </c>
      <c r="Z37" s="1">
        <v>4.0</v>
      </c>
      <c r="AA37" s="1">
        <v>10.0</v>
      </c>
      <c r="AB37" s="1" t="s">
        <v>1166</v>
      </c>
      <c r="AC37" s="1">
        <v>0.0</v>
      </c>
      <c r="AD37" s="1">
        <v>0.0</v>
      </c>
      <c r="AE37" s="1">
        <v>0.0</v>
      </c>
      <c r="AF37" s="1">
        <v>0.0</v>
      </c>
      <c r="AG37" s="6">
        <v>46105.135775462964</v>
      </c>
      <c r="AH37" s="1">
        <v>16.0</v>
      </c>
      <c r="AI37" s="1">
        <v>-2.0</v>
      </c>
      <c r="AJ37" s="1">
        <v>-2.0</v>
      </c>
      <c r="AK37" s="1">
        <v>-2.0</v>
      </c>
      <c r="AL37" s="1">
        <v>-2.0</v>
      </c>
      <c r="AM37" s="1">
        <v>-2.0</v>
      </c>
      <c r="AN37" s="1">
        <v>-2.0</v>
      </c>
      <c r="AO37" s="1">
        <v>-2.0</v>
      </c>
      <c r="AP37" s="1">
        <v>-2.0</v>
      </c>
      <c r="AQ37" s="1">
        <v>-2.0</v>
      </c>
      <c r="AR37" s="1">
        <v>-2.0</v>
      </c>
      <c r="AS37" s="1">
        <v>-2.0</v>
      </c>
      <c r="AT37" s="1">
        <v>-2.0</v>
      </c>
      <c r="AU37" s="1">
        <v>-2.0</v>
      </c>
      <c r="AV37" s="1">
        <v>-2.0</v>
      </c>
      <c r="AW37" s="1">
        <v>-2.0</v>
      </c>
      <c r="AX37" s="1">
        <v>-2.0</v>
      </c>
      <c r="AY37" s="1">
        <v>-2.0</v>
      </c>
      <c r="AZ37" s="1">
        <v>-2.0</v>
      </c>
      <c r="BA37" s="1">
        <v>-2.0</v>
      </c>
      <c r="BB37" s="1">
        <v>-2.0</v>
      </c>
      <c r="BC37" s="1">
        <v>-2.0</v>
      </c>
      <c r="BD37" s="1">
        <v>-2.0</v>
      </c>
      <c r="BE37" s="1">
        <v>-2.0</v>
      </c>
      <c r="BF37" s="1">
        <v>-2.0</v>
      </c>
      <c r="BG37" s="1">
        <v>-2.0</v>
      </c>
      <c r="BH37" s="1">
        <v>-2.0</v>
      </c>
      <c r="BI37" s="1">
        <v>-2.0</v>
      </c>
    </row>
    <row r="38">
      <c r="A38" s="3" t="s">
        <v>1292</v>
      </c>
      <c r="B38" s="1">
        <v>306.0</v>
      </c>
      <c r="C38" s="1" t="s">
        <v>1174</v>
      </c>
      <c r="D38" s="1">
        <v>2500.0</v>
      </c>
      <c r="E38" s="1">
        <v>1413.0</v>
      </c>
      <c r="F38" s="1">
        <v>30.0</v>
      </c>
      <c r="G38" s="1">
        <v>48.0</v>
      </c>
      <c r="H38" s="1" t="s">
        <v>1193</v>
      </c>
      <c r="I38" s="1">
        <v>70.0</v>
      </c>
      <c r="J38" s="1">
        <v>114.0</v>
      </c>
      <c r="K38" s="1">
        <v>669.0</v>
      </c>
      <c r="L38" s="1">
        <v>3287.0</v>
      </c>
      <c r="M38" s="1">
        <v>0.0</v>
      </c>
      <c r="N38" s="1">
        <v>-1.0</v>
      </c>
      <c r="O38" s="1" t="s">
        <v>1293</v>
      </c>
      <c r="P38" s="1">
        <v>3538.0</v>
      </c>
      <c r="Q38" s="1">
        <v>875.0</v>
      </c>
      <c r="R38" s="1">
        <v>580.0</v>
      </c>
      <c r="S38" s="1">
        <v>0.0</v>
      </c>
      <c r="T38" s="1">
        <v>0.0</v>
      </c>
      <c r="U38" s="1" t="s">
        <v>1167</v>
      </c>
      <c r="V38" s="1" t="s">
        <v>1294</v>
      </c>
      <c r="W38" s="1">
        <v>5.0</v>
      </c>
      <c r="X38" s="1">
        <v>97890.0</v>
      </c>
      <c r="Y38" s="1">
        <v>237.0</v>
      </c>
      <c r="Z38" s="1">
        <v>735.0</v>
      </c>
      <c r="AA38" s="1">
        <v>1047.0</v>
      </c>
      <c r="AB38" s="1" t="s">
        <v>1166</v>
      </c>
      <c r="AC38" s="1">
        <v>0.0</v>
      </c>
      <c r="AD38" s="1">
        <v>0.0</v>
      </c>
      <c r="AE38" s="1">
        <v>0.0</v>
      </c>
      <c r="AF38" s="1">
        <v>0.0</v>
      </c>
      <c r="AG38" s="6">
        <v>45777.995405092595</v>
      </c>
      <c r="AH38" s="1">
        <v>306.0</v>
      </c>
      <c r="AI38" s="1">
        <v>-2.0</v>
      </c>
      <c r="AJ38" s="1">
        <v>-2.0</v>
      </c>
      <c r="AK38" s="1">
        <v>-2.0</v>
      </c>
      <c r="AL38" s="1">
        <v>-2.0</v>
      </c>
      <c r="AM38" s="1">
        <v>-2.0</v>
      </c>
      <c r="AN38" s="1">
        <v>-2.0</v>
      </c>
      <c r="AO38" s="1">
        <v>493.0</v>
      </c>
      <c r="AP38" s="1">
        <v>-2.0</v>
      </c>
      <c r="AQ38" s="1">
        <v>-2.0</v>
      </c>
      <c r="AR38" s="1">
        <v>-2.0</v>
      </c>
      <c r="AS38" s="1">
        <v>440.0</v>
      </c>
      <c r="AT38" s="1">
        <v>-2.0</v>
      </c>
      <c r="AU38" s="1">
        <v>-2.0</v>
      </c>
      <c r="AV38" s="1">
        <v>-2.0</v>
      </c>
      <c r="AW38" s="1">
        <v>-2.0</v>
      </c>
      <c r="AX38" s="1">
        <v>-2.0</v>
      </c>
      <c r="AY38" s="1">
        <v>-2.0</v>
      </c>
      <c r="AZ38" s="1">
        <v>-2.0</v>
      </c>
      <c r="BA38" s="1">
        <v>-2.0</v>
      </c>
      <c r="BB38" s="1">
        <v>-2.0</v>
      </c>
      <c r="BC38" s="1">
        <v>-2.0</v>
      </c>
      <c r="BD38" s="1">
        <v>-2.0</v>
      </c>
      <c r="BE38" s="1">
        <v>-2.0</v>
      </c>
      <c r="BF38" s="1">
        <v>-2.0</v>
      </c>
      <c r="BG38" s="1">
        <v>-2.0</v>
      </c>
      <c r="BH38" s="1">
        <v>-2.0</v>
      </c>
      <c r="BI38" s="1">
        <v>-2.0</v>
      </c>
    </row>
    <row r="39">
      <c r="A39" s="3" t="s">
        <v>1295</v>
      </c>
      <c r="B39" s="1">
        <v>651.0</v>
      </c>
      <c r="C39" s="1" t="s">
        <v>1182</v>
      </c>
      <c r="D39" s="1">
        <v>23415.0</v>
      </c>
      <c r="E39" s="1">
        <v>866.0</v>
      </c>
      <c r="F39" s="1">
        <v>25.0</v>
      </c>
      <c r="G39" s="1">
        <v>45.0</v>
      </c>
      <c r="H39" s="1" t="s">
        <v>1258</v>
      </c>
      <c r="I39" s="1">
        <v>62.0</v>
      </c>
      <c r="J39" s="1">
        <v>831.0</v>
      </c>
      <c r="K39" s="1">
        <v>2741.0</v>
      </c>
      <c r="L39" s="1">
        <v>27115.0</v>
      </c>
      <c r="M39" s="1">
        <v>0.0</v>
      </c>
      <c r="N39" s="1">
        <v>-1.0</v>
      </c>
      <c r="O39" s="1" t="s">
        <v>1296</v>
      </c>
      <c r="P39" s="1">
        <v>8289.0</v>
      </c>
      <c r="Q39" s="1">
        <v>576.0</v>
      </c>
      <c r="R39" s="1">
        <v>392.0</v>
      </c>
      <c r="S39" s="1">
        <v>1.0</v>
      </c>
      <c r="T39" s="1">
        <v>1.0</v>
      </c>
      <c r="U39" s="1" t="s">
        <v>1166</v>
      </c>
      <c r="V39" s="1" t="s">
        <v>1238</v>
      </c>
      <c r="W39" s="1">
        <v>4.0</v>
      </c>
      <c r="X39" s="1">
        <v>226683.0</v>
      </c>
      <c r="Y39" s="1">
        <v>809.0</v>
      </c>
      <c r="Z39" s="1">
        <v>1146.0</v>
      </c>
      <c r="AA39" s="1">
        <v>844.0</v>
      </c>
      <c r="AB39" s="1" t="s">
        <v>1166</v>
      </c>
      <c r="AC39" s="1">
        <v>0.0</v>
      </c>
      <c r="AD39" s="1">
        <v>0.0</v>
      </c>
      <c r="AE39" s="1">
        <v>0.0</v>
      </c>
      <c r="AF39" s="1">
        <v>0.0</v>
      </c>
      <c r="AG39" s="6">
        <v>45612.00863425926</v>
      </c>
      <c r="AH39" s="1">
        <v>695.0</v>
      </c>
      <c r="AI39" s="1">
        <v>-2.0</v>
      </c>
      <c r="AJ39" s="1">
        <v>651.0</v>
      </c>
      <c r="AK39" s="1">
        <v>694.0</v>
      </c>
      <c r="AL39" s="1">
        <v>712.0</v>
      </c>
      <c r="AM39" s="1">
        <v>-2.0</v>
      </c>
      <c r="AN39" s="1">
        <v>1075.0</v>
      </c>
      <c r="AO39" s="1">
        <v>1001.0</v>
      </c>
      <c r="AP39" s="1">
        <v>814.0</v>
      </c>
      <c r="AQ39" s="1">
        <v>1152.0</v>
      </c>
      <c r="AR39" s="1">
        <v>-2.0</v>
      </c>
      <c r="AS39" s="1">
        <v>-2.0</v>
      </c>
      <c r="AT39" s="1">
        <v>-2.0</v>
      </c>
      <c r="AU39" s="1">
        <v>1129.0</v>
      </c>
      <c r="AV39" s="1">
        <v>1008.0</v>
      </c>
      <c r="AW39" s="1">
        <v>-2.0</v>
      </c>
      <c r="AX39" s="1">
        <v>-2.0</v>
      </c>
      <c r="AY39" s="1">
        <v>735.0</v>
      </c>
      <c r="AZ39" s="1">
        <v>1239.0</v>
      </c>
      <c r="BA39" s="1">
        <v>-2.0</v>
      </c>
      <c r="BB39" s="1">
        <v>-2.0</v>
      </c>
      <c r="BC39" s="1">
        <v>800.0</v>
      </c>
      <c r="BD39" s="1">
        <v>-2.0</v>
      </c>
      <c r="BE39" s="1">
        <v>1210.0</v>
      </c>
      <c r="BF39" s="1">
        <v>-2.0</v>
      </c>
      <c r="BG39" s="1">
        <v>-2.0</v>
      </c>
      <c r="BH39" s="1">
        <v>1443.0</v>
      </c>
      <c r="BI39" s="1">
        <v>885.0</v>
      </c>
    </row>
    <row r="40">
      <c r="A40" s="3" t="s">
        <v>1297</v>
      </c>
      <c r="B40" s="1">
        <v>62.0</v>
      </c>
      <c r="C40" s="1" t="s">
        <v>1197</v>
      </c>
      <c r="D40" s="1">
        <v>1078.0</v>
      </c>
      <c r="E40" s="1">
        <v>356.0</v>
      </c>
      <c r="F40" s="1">
        <v>15.0</v>
      </c>
      <c r="G40" s="1">
        <v>37.0</v>
      </c>
      <c r="H40" s="1" t="s">
        <v>1298</v>
      </c>
      <c r="I40" s="1">
        <v>37.0</v>
      </c>
      <c r="J40" s="1">
        <v>10.0</v>
      </c>
      <c r="K40" s="1">
        <v>73.0</v>
      </c>
      <c r="L40" s="1">
        <v>726.0</v>
      </c>
      <c r="M40" s="1">
        <v>0.0</v>
      </c>
      <c r="N40" s="1">
        <v>-1.0</v>
      </c>
      <c r="O40" s="1" t="s">
        <v>1299</v>
      </c>
      <c r="P40" s="1">
        <v>929.0</v>
      </c>
      <c r="Q40" s="1">
        <v>210.0</v>
      </c>
      <c r="R40" s="1">
        <v>190.0</v>
      </c>
      <c r="S40" s="1">
        <v>0.0</v>
      </c>
      <c r="T40" s="1">
        <v>0.0</v>
      </c>
      <c r="U40" s="1" t="s">
        <v>1167</v>
      </c>
      <c r="V40" s="1" t="s">
        <v>1300</v>
      </c>
      <c r="W40" s="1">
        <v>4.0</v>
      </c>
      <c r="X40" s="1">
        <v>1941826.0</v>
      </c>
      <c r="Y40" s="1">
        <v>21.0</v>
      </c>
      <c r="Z40" s="1">
        <v>69.0</v>
      </c>
      <c r="AA40" s="1">
        <v>86.0</v>
      </c>
      <c r="AB40" s="1" t="s">
        <v>1166</v>
      </c>
      <c r="AC40" s="1">
        <v>0.0</v>
      </c>
      <c r="AD40" s="1">
        <v>0.0</v>
      </c>
      <c r="AE40" s="1">
        <v>0.0</v>
      </c>
      <c r="AF40" s="1">
        <v>0.0</v>
      </c>
      <c r="AG40" s="6">
        <v>45904.13275462963</v>
      </c>
      <c r="AH40" s="1">
        <v>63.0</v>
      </c>
      <c r="AI40" s="1">
        <v>62.0</v>
      </c>
      <c r="AJ40" s="1">
        <v>-2.0</v>
      </c>
      <c r="AK40" s="1">
        <v>-2.0</v>
      </c>
      <c r="AL40" s="1">
        <v>-2.0</v>
      </c>
      <c r="AM40" s="1">
        <v>-2.0</v>
      </c>
      <c r="AN40" s="1">
        <v>-2.0</v>
      </c>
      <c r="AO40" s="1">
        <v>92.0</v>
      </c>
      <c r="AP40" s="1">
        <v>-2.0</v>
      </c>
      <c r="AQ40" s="1">
        <v>-2.0</v>
      </c>
      <c r="AR40" s="1">
        <v>-2.0</v>
      </c>
      <c r="AS40" s="1">
        <v>-2.0</v>
      </c>
      <c r="AT40" s="1">
        <v>-2.0</v>
      </c>
      <c r="AU40" s="1">
        <v>-2.0</v>
      </c>
      <c r="AV40" s="1">
        <v>-2.0</v>
      </c>
      <c r="AW40" s="1">
        <v>-2.0</v>
      </c>
      <c r="AX40" s="1">
        <v>-2.0</v>
      </c>
      <c r="AY40" s="1">
        <v>-2.0</v>
      </c>
      <c r="AZ40" s="1">
        <v>-2.0</v>
      </c>
      <c r="BA40" s="1">
        <v>-2.0</v>
      </c>
      <c r="BB40" s="1">
        <v>-2.0</v>
      </c>
      <c r="BC40" s="1">
        <v>-2.0</v>
      </c>
      <c r="BD40" s="1">
        <v>-2.0</v>
      </c>
      <c r="BE40" s="1">
        <v>-2.0</v>
      </c>
      <c r="BF40" s="1">
        <v>-2.0</v>
      </c>
      <c r="BG40" s="1">
        <v>-2.0</v>
      </c>
      <c r="BH40" s="1">
        <v>-2.0</v>
      </c>
      <c r="BI40" s="1">
        <v>-2.0</v>
      </c>
    </row>
    <row r="41">
      <c r="A41" s="3" t="s">
        <v>1301</v>
      </c>
      <c r="B41" s="1">
        <v>103.0</v>
      </c>
      <c r="C41" s="1" t="s">
        <v>1192</v>
      </c>
      <c r="D41" s="1">
        <v>398.0</v>
      </c>
      <c r="E41" s="1">
        <v>508.0</v>
      </c>
      <c r="F41" s="1">
        <v>42.0</v>
      </c>
      <c r="G41" s="1">
        <v>33.0</v>
      </c>
      <c r="H41" s="1" t="s">
        <v>1302</v>
      </c>
      <c r="I41" s="1">
        <v>37.0</v>
      </c>
      <c r="J41" s="1">
        <v>3.0</v>
      </c>
      <c r="K41" s="1">
        <v>31.0</v>
      </c>
      <c r="L41" s="1">
        <v>2.0</v>
      </c>
      <c r="M41" s="1">
        <v>0.0</v>
      </c>
      <c r="N41" s="1">
        <v>-1.0</v>
      </c>
      <c r="O41" s="1" t="s">
        <v>1303</v>
      </c>
      <c r="P41" s="1">
        <v>79170.0</v>
      </c>
      <c r="Q41" s="1">
        <v>269.0</v>
      </c>
      <c r="R41" s="1">
        <v>247.0</v>
      </c>
      <c r="S41" s="1">
        <v>20.0</v>
      </c>
      <c r="T41" s="1">
        <v>0.0</v>
      </c>
      <c r="U41" s="1" t="s">
        <v>1185</v>
      </c>
      <c r="V41" s="1" t="s">
        <v>1185</v>
      </c>
      <c r="W41" s="1">
        <v>4.0</v>
      </c>
      <c r="X41" s="1">
        <v>2004114.0</v>
      </c>
      <c r="Y41" s="1">
        <v>30.0</v>
      </c>
      <c r="Z41" s="1">
        <v>98.0</v>
      </c>
      <c r="AA41" s="1">
        <v>217.0</v>
      </c>
      <c r="AB41" s="1" t="s">
        <v>1166</v>
      </c>
      <c r="AC41" s="1">
        <v>0.0</v>
      </c>
      <c r="AD41" s="1">
        <v>0.0</v>
      </c>
      <c r="AE41" s="1">
        <v>0.0</v>
      </c>
      <c r="AF41" s="1">
        <v>0.0</v>
      </c>
      <c r="AG41" s="6">
        <v>45611.98105324074</v>
      </c>
      <c r="AH41" s="1">
        <v>106.0</v>
      </c>
      <c r="AI41" s="1">
        <v>135.0</v>
      </c>
      <c r="AJ41" s="1">
        <v>172.0</v>
      </c>
      <c r="AK41" s="1">
        <v>163.0</v>
      </c>
      <c r="AL41" s="1">
        <v>-2.0</v>
      </c>
      <c r="AM41" s="1">
        <v>-2.0</v>
      </c>
      <c r="AN41" s="1">
        <v>103.0</v>
      </c>
      <c r="AO41" s="1">
        <v>144.0</v>
      </c>
      <c r="AP41" s="1">
        <v>135.0</v>
      </c>
      <c r="AQ41" s="1">
        <v>160.0</v>
      </c>
      <c r="AR41" s="1">
        <v>-2.0</v>
      </c>
      <c r="AS41" s="1">
        <v>114.0</v>
      </c>
      <c r="AT41" s="1">
        <v>-2.0</v>
      </c>
      <c r="AU41" s="1">
        <v>153.0</v>
      </c>
      <c r="AV41" s="1">
        <v>202.0</v>
      </c>
      <c r="AW41" s="1">
        <v>612.0</v>
      </c>
      <c r="AX41" s="1">
        <v>-2.0</v>
      </c>
      <c r="AY41" s="1">
        <v>689.0</v>
      </c>
      <c r="AZ41" s="1">
        <v>224.0</v>
      </c>
      <c r="BA41" s="1">
        <v>254.0</v>
      </c>
      <c r="BB41" s="1">
        <v>245.0</v>
      </c>
      <c r="BC41" s="1">
        <v>160.0</v>
      </c>
      <c r="BD41" s="1">
        <v>-2.0</v>
      </c>
      <c r="BE41" s="1">
        <v>164.0</v>
      </c>
      <c r="BF41" s="1">
        <v>106.0</v>
      </c>
      <c r="BG41" s="1">
        <v>-2.0</v>
      </c>
      <c r="BH41" s="1">
        <v>270.0</v>
      </c>
      <c r="BI41" s="1">
        <v>140.0</v>
      </c>
    </row>
    <row r="42">
      <c r="A42" s="3" t="s">
        <v>1304</v>
      </c>
      <c r="B42" s="1">
        <v>694.0</v>
      </c>
      <c r="C42" s="1" t="s">
        <v>1174</v>
      </c>
      <c r="D42" s="1">
        <v>1069.0</v>
      </c>
      <c r="E42" s="1">
        <v>1352.0</v>
      </c>
      <c r="F42" s="1">
        <v>28.0</v>
      </c>
      <c r="G42" s="1">
        <v>37.0</v>
      </c>
      <c r="H42" s="1" t="s">
        <v>1164</v>
      </c>
      <c r="I42" s="1">
        <v>67.0</v>
      </c>
      <c r="J42" s="1">
        <v>72.0</v>
      </c>
      <c r="K42" s="1">
        <v>287.0</v>
      </c>
      <c r="L42" s="1">
        <v>408.0</v>
      </c>
      <c r="M42" s="1">
        <v>1.0</v>
      </c>
      <c r="N42" s="1">
        <v>-1.0</v>
      </c>
      <c r="O42" s="1" t="s">
        <v>1305</v>
      </c>
      <c r="P42" s="1">
        <v>27734.0</v>
      </c>
      <c r="Q42" s="1">
        <v>779.0</v>
      </c>
      <c r="R42" s="1">
        <v>608.0</v>
      </c>
      <c r="S42" s="1">
        <v>2.0</v>
      </c>
      <c r="T42" s="1">
        <v>0.0</v>
      </c>
      <c r="U42" s="1" t="s">
        <v>1166</v>
      </c>
      <c r="V42" s="1" t="s">
        <v>1306</v>
      </c>
      <c r="W42" s="1">
        <v>0.0</v>
      </c>
      <c r="X42" s="1">
        <v>143316.0</v>
      </c>
      <c r="Y42" s="1">
        <v>54.0</v>
      </c>
      <c r="Z42" s="1">
        <v>188.0</v>
      </c>
      <c r="AA42" s="1">
        <v>192.0</v>
      </c>
      <c r="AB42" s="1" t="s">
        <v>1166</v>
      </c>
      <c r="AC42" s="1">
        <v>0.0</v>
      </c>
      <c r="AD42" s="1">
        <v>0.0</v>
      </c>
      <c r="AE42" s="1">
        <v>0.0</v>
      </c>
      <c r="AF42" s="1">
        <v>0.0</v>
      </c>
      <c r="AG42" s="6">
        <v>45611.983622685184</v>
      </c>
      <c r="AH42" s="1">
        <v>694.0</v>
      </c>
      <c r="AI42" s="1">
        <v>-2.0</v>
      </c>
      <c r="AJ42" s="1">
        <v>-2.0</v>
      </c>
      <c r="AK42" s="1">
        <v>969.0</v>
      </c>
      <c r="AL42" s="1">
        <v>796.0</v>
      </c>
      <c r="AM42" s="1">
        <v>-2.0</v>
      </c>
      <c r="AN42" s="1">
        <v>-2.0</v>
      </c>
      <c r="AO42" s="1">
        <v>795.0</v>
      </c>
      <c r="AP42" s="1">
        <v>1014.0</v>
      </c>
      <c r="AQ42" s="1">
        <v>-2.0</v>
      </c>
      <c r="AR42" s="1">
        <v>1191.0</v>
      </c>
      <c r="AS42" s="1">
        <v>790.0</v>
      </c>
      <c r="AT42" s="1">
        <v>-2.0</v>
      </c>
      <c r="AU42" s="1">
        <v>-2.0</v>
      </c>
      <c r="AV42" s="1">
        <v>1764.0</v>
      </c>
      <c r="AW42" s="1">
        <v>-2.0</v>
      </c>
      <c r="AX42" s="1">
        <v>1430.0</v>
      </c>
      <c r="AY42" s="1">
        <v>970.0</v>
      </c>
      <c r="AZ42" s="1">
        <v>2005.0</v>
      </c>
      <c r="BA42" s="1">
        <v>-2.0</v>
      </c>
      <c r="BB42" s="1">
        <v>1285.0</v>
      </c>
      <c r="BC42" s="1">
        <v>1150.0</v>
      </c>
      <c r="BD42" s="1">
        <v>-2.0</v>
      </c>
      <c r="BE42" s="1">
        <v>-2.0</v>
      </c>
      <c r="BF42" s="1">
        <v>-2.0</v>
      </c>
      <c r="BG42" s="1">
        <v>-2.0</v>
      </c>
      <c r="BH42" s="1">
        <v>-2.0</v>
      </c>
      <c r="BI42" s="1">
        <v>-2.0</v>
      </c>
    </row>
    <row r="43">
      <c r="A43" s="3" t="s">
        <v>1307</v>
      </c>
      <c r="B43" s="1">
        <v>1054.0</v>
      </c>
      <c r="C43" s="1" t="s">
        <v>1197</v>
      </c>
      <c r="D43" s="1">
        <v>23520.0</v>
      </c>
      <c r="E43" s="1">
        <v>1514.0</v>
      </c>
      <c r="F43" s="1">
        <v>26.0</v>
      </c>
      <c r="G43" s="1">
        <v>31.0</v>
      </c>
      <c r="H43" s="1" t="s">
        <v>1308</v>
      </c>
      <c r="I43" s="1">
        <v>62.0</v>
      </c>
      <c r="J43" s="1">
        <v>1055.0</v>
      </c>
      <c r="K43" s="1">
        <v>5673.0</v>
      </c>
      <c r="L43" s="1">
        <v>9278.0</v>
      </c>
      <c r="M43" s="1">
        <v>0.0</v>
      </c>
      <c r="N43" s="1">
        <v>-1.0</v>
      </c>
      <c r="O43" s="1" t="s">
        <v>1309</v>
      </c>
      <c r="P43" s="1">
        <v>58645.0</v>
      </c>
      <c r="Q43" s="1">
        <v>891.0</v>
      </c>
      <c r="R43" s="1">
        <v>653.0</v>
      </c>
      <c r="S43" s="1">
        <v>6.0</v>
      </c>
      <c r="T43" s="1">
        <v>0.0</v>
      </c>
      <c r="U43" s="1" t="s">
        <v>1166</v>
      </c>
      <c r="V43" s="1" t="s">
        <v>1310</v>
      </c>
      <c r="W43" s="1">
        <v>4.0</v>
      </c>
      <c r="X43" s="1">
        <v>223014.0</v>
      </c>
      <c r="Y43" s="1">
        <v>1198.0</v>
      </c>
      <c r="Z43" s="1">
        <v>1522.0</v>
      </c>
      <c r="AA43" s="1">
        <v>1683.0</v>
      </c>
      <c r="AB43" s="1" t="s">
        <v>1166</v>
      </c>
      <c r="AC43" s="1">
        <v>0.0</v>
      </c>
      <c r="AD43" s="1">
        <v>0.0</v>
      </c>
      <c r="AE43" s="1">
        <v>0.0</v>
      </c>
      <c r="AF43" s="1">
        <v>0.0</v>
      </c>
      <c r="AG43" s="6">
        <v>45611.97998842593</v>
      </c>
      <c r="AH43" s="1">
        <v>-2.0</v>
      </c>
      <c r="AI43" s="1">
        <v>1054.0</v>
      </c>
      <c r="AJ43" s="1">
        <v>-2.0</v>
      </c>
      <c r="AK43" s="1">
        <v>-2.0</v>
      </c>
      <c r="AL43" s="1">
        <v>-2.0</v>
      </c>
      <c r="AM43" s="1">
        <v>-2.0</v>
      </c>
      <c r="AN43" s="1">
        <v>-2.0</v>
      </c>
      <c r="AO43" s="1">
        <v>-2.0</v>
      </c>
      <c r="AP43" s="1">
        <v>-2.0</v>
      </c>
      <c r="AQ43" s="1">
        <v>-2.0</v>
      </c>
      <c r="AR43" s="1">
        <v>-2.0</v>
      </c>
      <c r="AS43" s="1">
        <v>-2.0</v>
      </c>
      <c r="AT43" s="1">
        <v>-2.0</v>
      </c>
      <c r="AU43" s="1">
        <v>-2.0</v>
      </c>
      <c r="AV43" s="1">
        <v>-2.0</v>
      </c>
      <c r="AW43" s="1">
        <v>-2.0</v>
      </c>
      <c r="AX43" s="1">
        <v>1092.0</v>
      </c>
      <c r="AY43" s="1">
        <v>-2.0</v>
      </c>
      <c r="AZ43" s="1">
        <v>-2.0</v>
      </c>
      <c r="BA43" s="1">
        <v>1200.0</v>
      </c>
      <c r="BB43" s="1">
        <v>-2.0</v>
      </c>
      <c r="BC43" s="1">
        <v>-2.0</v>
      </c>
      <c r="BD43" s="1">
        <v>-2.0</v>
      </c>
      <c r="BE43" s="1">
        <v>-2.0</v>
      </c>
      <c r="BF43" s="1">
        <v>-2.0</v>
      </c>
      <c r="BG43" s="1">
        <v>-2.0</v>
      </c>
      <c r="BH43" s="1">
        <v>-2.0</v>
      </c>
      <c r="BI43" s="1">
        <v>-2.0</v>
      </c>
    </row>
    <row r="44">
      <c r="A44" s="3" t="s">
        <v>1311</v>
      </c>
      <c r="B44" s="1">
        <v>28.0</v>
      </c>
      <c r="C44" s="1" t="s">
        <v>1174</v>
      </c>
      <c r="D44" s="1">
        <v>23.0</v>
      </c>
      <c r="E44" s="1">
        <v>33.0</v>
      </c>
      <c r="F44" s="1">
        <v>7.0</v>
      </c>
      <c r="G44" s="1">
        <v>22.0</v>
      </c>
      <c r="H44" s="1" t="s">
        <v>1193</v>
      </c>
      <c r="I44" s="1">
        <v>4.0</v>
      </c>
      <c r="J44" s="1">
        <v>0.0</v>
      </c>
      <c r="K44" s="1">
        <v>16.0</v>
      </c>
      <c r="L44" s="1">
        <v>3.0</v>
      </c>
      <c r="M44" s="1">
        <v>0.0</v>
      </c>
      <c r="N44" s="1">
        <v>-1.0</v>
      </c>
      <c r="O44" s="1" t="s">
        <v>1312</v>
      </c>
      <c r="P44" s="1">
        <v>58.0</v>
      </c>
      <c r="Q44" s="1">
        <v>26.0</v>
      </c>
      <c r="R44" s="1">
        <v>24.0</v>
      </c>
      <c r="S44" s="1">
        <v>0.0</v>
      </c>
      <c r="T44" s="1">
        <v>0.0</v>
      </c>
      <c r="U44" s="1" t="s">
        <v>1166</v>
      </c>
      <c r="V44" s="1" t="s">
        <v>1167</v>
      </c>
      <c r="W44" s="1">
        <v>0.0</v>
      </c>
      <c r="X44" s="1">
        <v>2.8102921E7</v>
      </c>
      <c r="Y44" s="1">
        <v>6.0</v>
      </c>
      <c r="Z44" s="1">
        <v>4.0</v>
      </c>
      <c r="AA44" s="1">
        <v>15.0</v>
      </c>
      <c r="AB44" s="1" t="s">
        <v>1166</v>
      </c>
      <c r="AC44" s="1">
        <v>0.0</v>
      </c>
      <c r="AD44" s="1">
        <v>0.0</v>
      </c>
      <c r="AE44" s="1">
        <v>0.0</v>
      </c>
      <c r="AF44" s="1">
        <v>0.0</v>
      </c>
      <c r="AG44" s="6">
        <v>45904.606990740744</v>
      </c>
      <c r="AH44" s="1">
        <v>28.0</v>
      </c>
      <c r="AI44" s="1">
        <v>-2.0</v>
      </c>
      <c r="AJ44" s="1">
        <v>-2.0</v>
      </c>
      <c r="AK44" s="1">
        <v>-2.0</v>
      </c>
      <c r="AL44" s="1">
        <v>-2.0</v>
      </c>
      <c r="AM44" s="1">
        <v>-2.0</v>
      </c>
      <c r="AN44" s="1">
        <v>-2.0</v>
      </c>
      <c r="AO44" s="1">
        <v>-2.0</v>
      </c>
      <c r="AP44" s="1">
        <v>-2.0</v>
      </c>
      <c r="AQ44" s="1">
        <v>-2.0</v>
      </c>
      <c r="AR44" s="1">
        <v>-2.0</v>
      </c>
      <c r="AS44" s="1">
        <v>-2.0</v>
      </c>
      <c r="AT44" s="1">
        <v>-2.0</v>
      </c>
      <c r="AU44" s="1">
        <v>-2.0</v>
      </c>
      <c r="AV44" s="1">
        <v>-2.0</v>
      </c>
      <c r="AW44" s="1">
        <v>-2.0</v>
      </c>
      <c r="AX44" s="1">
        <v>-2.0</v>
      </c>
      <c r="AY44" s="1">
        <v>-2.0</v>
      </c>
      <c r="AZ44" s="1">
        <v>-2.0</v>
      </c>
      <c r="BA44" s="1">
        <v>-2.0</v>
      </c>
      <c r="BB44" s="1">
        <v>-2.0</v>
      </c>
      <c r="BC44" s="1">
        <v>-2.0</v>
      </c>
      <c r="BD44" s="1">
        <v>-2.0</v>
      </c>
      <c r="BE44" s="1">
        <v>-2.0</v>
      </c>
      <c r="BF44" s="1">
        <v>-2.0</v>
      </c>
      <c r="BG44" s="1">
        <v>-2.0</v>
      </c>
      <c r="BH44" s="1">
        <v>-2.0</v>
      </c>
      <c r="BI44" s="1">
        <v>-2.0</v>
      </c>
    </row>
    <row r="45">
      <c r="A45" s="3" t="s">
        <v>1313</v>
      </c>
      <c r="B45" s="1">
        <v>924.0</v>
      </c>
      <c r="C45" s="1" t="s">
        <v>1187</v>
      </c>
      <c r="D45" s="1">
        <v>8676.0</v>
      </c>
      <c r="E45" s="1">
        <v>1611.0</v>
      </c>
      <c r="F45" s="1">
        <v>42.0</v>
      </c>
      <c r="G45" s="1">
        <v>49.0</v>
      </c>
      <c r="H45" s="1" t="s">
        <v>1193</v>
      </c>
      <c r="I45" s="1">
        <v>56.0</v>
      </c>
      <c r="J45" s="1">
        <v>352.0</v>
      </c>
      <c r="K45" s="1">
        <v>2455.0</v>
      </c>
      <c r="L45" s="1">
        <v>3836.0</v>
      </c>
      <c r="M45" s="1">
        <v>1.0</v>
      </c>
      <c r="N45" s="1">
        <v>-1.0</v>
      </c>
      <c r="O45" s="3" t="s">
        <v>1314</v>
      </c>
      <c r="P45" s="1">
        <v>68668.0</v>
      </c>
      <c r="Q45" s="1">
        <v>977.0</v>
      </c>
      <c r="R45" s="1">
        <v>709.0</v>
      </c>
      <c r="S45" s="1">
        <v>4.0</v>
      </c>
      <c r="T45" s="1">
        <v>0.0</v>
      </c>
      <c r="U45" s="1" t="s">
        <v>1166</v>
      </c>
      <c r="V45" s="1" t="s">
        <v>1315</v>
      </c>
      <c r="W45" s="1">
        <v>4.0</v>
      </c>
      <c r="X45" s="1">
        <v>375948.0</v>
      </c>
      <c r="Y45" s="1">
        <v>1050.0</v>
      </c>
      <c r="Z45" s="1">
        <v>2172.0</v>
      </c>
      <c r="AA45" s="1">
        <v>2500.0</v>
      </c>
      <c r="AB45" s="1" t="s">
        <v>1166</v>
      </c>
      <c r="AC45" s="1">
        <v>0.0</v>
      </c>
      <c r="AD45" s="1">
        <v>0.0</v>
      </c>
      <c r="AE45" s="1">
        <v>0.0</v>
      </c>
      <c r="AF45" s="1">
        <v>0.0</v>
      </c>
      <c r="AG45" s="6">
        <v>45904.091898148145</v>
      </c>
      <c r="AH45" s="1">
        <v>-2.0</v>
      </c>
      <c r="AI45" s="1">
        <v>-2.0</v>
      </c>
      <c r="AJ45" s="1">
        <v>-2.0</v>
      </c>
      <c r="AK45" s="1">
        <v>1336.0</v>
      </c>
      <c r="AL45" s="1">
        <v>-2.0</v>
      </c>
      <c r="AM45" s="1">
        <v>-2.0</v>
      </c>
      <c r="AN45" s="1">
        <v>-2.0</v>
      </c>
      <c r="AO45" s="1">
        <v>924.0</v>
      </c>
      <c r="AP45" s="1">
        <v>-2.0</v>
      </c>
      <c r="AQ45" s="1">
        <v>-2.0</v>
      </c>
      <c r="AR45" s="1">
        <v>-2.0</v>
      </c>
      <c r="AS45" s="1">
        <v>-2.0</v>
      </c>
      <c r="AT45" s="1">
        <v>-2.0</v>
      </c>
      <c r="AU45" s="1">
        <v>-2.0</v>
      </c>
      <c r="AV45" s="1">
        <v>-2.0</v>
      </c>
      <c r="AW45" s="1">
        <v>-2.0</v>
      </c>
      <c r="AX45" s="1">
        <v>-2.0</v>
      </c>
      <c r="AY45" s="1">
        <v>1721.0</v>
      </c>
      <c r="AZ45" s="1">
        <v>-2.0</v>
      </c>
      <c r="BA45" s="1">
        <v>-2.0</v>
      </c>
      <c r="BB45" s="1">
        <v>-2.0</v>
      </c>
      <c r="BC45" s="1">
        <v>-2.0</v>
      </c>
      <c r="BD45" s="1">
        <v>-2.0</v>
      </c>
      <c r="BE45" s="1">
        <v>-2.0</v>
      </c>
      <c r="BF45" s="1">
        <v>-2.0</v>
      </c>
      <c r="BG45" s="1">
        <v>-2.0</v>
      </c>
      <c r="BH45" s="1">
        <v>-2.0</v>
      </c>
      <c r="BI45" s="1">
        <v>-2.0</v>
      </c>
    </row>
    <row r="46">
      <c r="A46" s="3" t="s">
        <v>1316</v>
      </c>
      <c r="B46" s="1">
        <v>339.0</v>
      </c>
      <c r="C46" s="1" t="s">
        <v>1187</v>
      </c>
      <c r="D46" s="1">
        <v>382.0</v>
      </c>
      <c r="E46" s="1">
        <v>390.0</v>
      </c>
      <c r="F46" s="1">
        <v>18.0</v>
      </c>
      <c r="G46" s="1">
        <v>33.0</v>
      </c>
      <c r="H46" s="1" t="s">
        <v>1317</v>
      </c>
      <c r="I46" s="1">
        <v>29.0</v>
      </c>
      <c r="J46" s="1">
        <v>17.0</v>
      </c>
      <c r="K46" s="1">
        <v>97.0</v>
      </c>
      <c r="L46" s="1">
        <v>329.0</v>
      </c>
      <c r="M46" s="1">
        <v>0.0</v>
      </c>
      <c r="N46" s="1">
        <v>-1.0</v>
      </c>
      <c r="O46" s="1" t="s">
        <v>1318</v>
      </c>
      <c r="P46" s="1">
        <v>729.0</v>
      </c>
      <c r="Q46" s="1">
        <v>214.0</v>
      </c>
      <c r="R46" s="1">
        <v>166.0</v>
      </c>
      <c r="S46" s="1">
        <v>0.0</v>
      </c>
      <c r="T46" s="1">
        <v>0.0</v>
      </c>
      <c r="U46" s="1" t="s">
        <v>1166</v>
      </c>
      <c r="V46" s="1" t="s">
        <v>1319</v>
      </c>
      <c r="W46" s="1">
        <v>4.0</v>
      </c>
      <c r="X46" s="1">
        <v>4053818.0</v>
      </c>
      <c r="Y46" s="1">
        <v>62.0</v>
      </c>
      <c r="Z46" s="1">
        <v>165.0</v>
      </c>
      <c r="AA46" s="1">
        <v>184.0</v>
      </c>
      <c r="AB46" s="1" t="s">
        <v>1166</v>
      </c>
      <c r="AC46" s="1">
        <v>0.0</v>
      </c>
      <c r="AD46" s="1">
        <v>0.0</v>
      </c>
      <c r="AE46" s="1">
        <v>0.0</v>
      </c>
      <c r="AF46" s="1">
        <v>0.0</v>
      </c>
      <c r="AG46" s="6">
        <v>45904.132835648146</v>
      </c>
      <c r="AH46" s="1">
        <v>-2.0</v>
      </c>
      <c r="AI46" s="1">
        <v>-2.0</v>
      </c>
      <c r="AJ46" s="1">
        <v>-2.0</v>
      </c>
      <c r="AK46" s="1">
        <v>-2.0</v>
      </c>
      <c r="AL46" s="1">
        <v>-2.0</v>
      </c>
      <c r="AM46" s="1">
        <v>-2.0</v>
      </c>
      <c r="AN46" s="1">
        <v>-2.0</v>
      </c>
      <c r="AO46" s="1">
        <v>339.0</v>
      </c>
      <c r="AP46" s="1">
        <v>-2.0</v>
      </c>
      <c r="AQ46" s="1">
        <v>-2.0</v>
      </c>
      <c r="AR46" s="1">
        <v>-2.0</v>
      </c>
      <c r="AS46" s="1">
        <v>-2.0</v>
      </c>
      <c r="AT46" s="1">
        <v>-2.0</v>
      </c>
      <c r="AU46" s="1">
        <v>-2.0</v>
      </c>
      <c r="AV46" s="1">
        <v>-2.0</v>
      </c>
      <c r="AW46" s="1">
        <v>-2.0</v>
      </c>
      <c r="AX46" s="1">
        <v>-2.0</v>
      </c>
      <c r="AY46" s="1">
        <v>-2.0</v>
      </c>
      <c r="AZ46" s="1">
        <v>-2.0</v>
      </c>
      <c r="BA46" s="1">
        <v>-2.0</v>
      </c>
      <c r="BB46" s="1">
        <v>-2.0</v>
      </c>
      <c r="BC46" s="1">
        <v>-2.0</v>
      </c>
      <c r="BD46" s="1">
        <v>-2.0</v>
      </c>
      <c r="BE46" s="1">
        <v>-2.0</v>
      </c>
      <c r="BF46" s="1">
        <v>-2.0</v>
      </c>
      <c r="BG46" s="1">
        <v>-2.0</v>
      </c>
      <c r="BH46" s="1">
        <v>-2.0</v>
      </c>
      <c r="BI46" s="1">
        <v>-2.0</v>
      </c>
    </row>
    <row r="47">
      <c r="A47" s="3" t="s">
        <v>1320</v>
      </c>
      <c r="B47" s="1">
        <v>863.0</v>
      </c>
      <c r="C47" s="1" t="s">
        <v>1321</v>
      </c>
      <c r="D47" s="1">
        <v>112769.0</v>
      </c>
      <c r="E47" s="1">
        <v>1815.0</v>
      </c>
      <c r="F47" s="1">
        <v>18.0</v>
      </c>
      <c r="G47" s="1">
        <v>48.0</v>
      </c>
      <c r="H47" s="1" t="s">
        <v>1175</v>
      </c>
      <c r="I47" s="1">
        <v>70.0</v>
      </c>
      <c r="J47" s="1">
        <v>4761.0</v>
      </c>
      <c r="K47" s="1">
        <v>11191.0</v>
      </c>
      <c r="L47" s="1">
        <v>40619.0</v>
      </c>
      <c r="M47" s="1">
        <v>1.0</v>
      </c>
      <c r="N47" s="1">
        <v>-1.0</v>
      </c>
      <c r="O47" s="1" t="s">
        <v>1322</v>
      </c>
      <c r="P47" s="1">
        <v>11871.0</v>
      </c>
      <c r="Q47" s="1">
        <v>1196.0</v>
      </c>
      <c r="R47" s="1">
        <v>815.0</v>
      </c>
      <c r="S47" s="1">
        <v>1.0</v>
      </c>
      <c r="T47" s="1">
        <v>0.0</v>
      </c>
      <c r="U47" s="1" t="s">
        <v>1166</v>
      </c>
      <c r="V47" s="1" t="s">
        <v>1323</v>
      </c>
      <c r="W47" s="1">
        <v>4.0</v>
      </c>
      <c r="X47" s="1">
        <v>102309.0</v>
      </c>
      <c r="Y47" s="1">
        <v>2558.0</v>
      </c>
      <c r="Z47" s="1">
        <v>2962.0</v>
      </c>
      <c r="AA47" s="1">
        <v>1671.0</v>
      </c>
      <c r="AB47" s="1" t="s">
        <v>1166</v>
      </c>
      <c r="AC47" s="1">
        <v>58.0</v>
      </c>
      <c r="AD47" s="1">
        <v>93.0</v>
      </c>
      <c r="AE47" s="1">
        <v>125.0</v>
      </c>
      <c r="AF47" s="1">
        <v>94.0</v>
      </c>
      <c r="AG47" s="6">
        <v>45845.79006944445</v>
      </c>
      <c r="AH47" s="1">
        <v>-2.0</v>
      </c>
      <c r="AI47" s="1">
        <v>-2.0</v>
      </c>
      <c r="AJ47" s="1">
        <v>1572.0</v>
      </c>
      <c r="AK47" s="1">
        <v>1249.0</v>
      </c>
      <c r="AL47" s="1">
        <v>-2.0</v>
      </c>
      <c r="AM47" s="1">
        <v>-2.0</v>
      </c>
      <c r="AN47" s="1">
        <v>-2.0</v>
      </c>
      <c r="AO47" s="1">
        <v>996.0</v>
      </c>
      <c r="AP47" s="1">
        <v>863.0</v>
      </c>
      <c r="AQ47" s="1">
        <v>-2.0</v>
      </c>
      <c r="AR47" s="1">
        <v>-2.0</v>
      </c>
      <c r="AS47" s="1">
        <v>-2.0</v>
      </c>
      <c r="AT47" s="1">
        <v>-2.0</v>
      </c>
      <c r="AU47" s="1">
        <v>-2.0</v>
      </c>
      <c r="AV47" s="1">
        <v>1540.0</v>
      </c>
      <c r="AW47" s="1">
        <v>-2.0</v>
      </c>
      <c r="AX47" s="1">
        <v>-2.0</v>
      </c>
      <c r="AY47" s="1">
        <v>1586.0</v>
      </c>
      <c r="AZ47" s="1">
        <v>-2.0</v>
      </c>
      <c r="BA47" s="1">
        <v>1425.0</v>
      </c>
      <c r="BB47" s="1">
        <v>1260.0</v>
      </c>
      <c r="BC47" s="1">
        <v>1250.0</v>
      </c>
      <c r="BD47" s="1">
        <v>-2.0</v>
      </c>
      <c r="BE47" s="1">
        <v>-2.0</v>
      </c>
      <c r="BF47" s="1">
        <v>-2.0</v>
      </c>
      <c r="BG47" s="1">
        <v>-2.0</v>
      </c>
      <c r="BH47" s="1">
        <v>-2.0</v>
      </c>
      <c r="BI47" s="1">
        <v>-2.0</v>
      </c>
    </row>
    <row r="48">
      <c r="A48" s="3" t="s">
        <v>1324</v>
      </c>
      <c r="B48" s="1">
        <v>330.0</v>
      </c>
      <c r="C48" s="1" t="s">
        <v>1145</v>
      </c>
      <c r="D48" s="1">
        <v>138845.0</v>
      </c>
      <c r="E48" s="1">
        <v>1797.0</v>
      </c>
      <c r="F48" s="1">
        <v>18.0</v>
      </c>
      <c r="G48" s="1">
        <v>44.0</v>
      </c>
      <c r="H48" s="1" t="s">
        <v>1175</v>
      </c>
      <c r="I48" s="1">
        <v>61.0</v>
      </c>
      <c r="J48" s="1">
        <v>797.0</v>
      </c>
      <c r="K48" s="1">
        <v>2590.0</v>
      </c>
      <c r="L48" s="1">
        <v>67779.0</v>
      </c>
      <c r="M48" s="1">
        <v>1.0</v>
      </c>
      <c r="N48" s="1">
        <v>-1.0</v>
      </c>
      <c r="O48" s="1" t="s">
        <v>1325</v>
      </c>
      <c r="P48" s="1">
        <v>76883.0</v>
      </c>
      <c r="Q48" s="1">
        <v>933.0</v>
      </c>
      <c r="R48" s="1">
        <v>656.0</v>
      </c>
      <c r="S48" s="1">
        <v>0.0</v>
      </c>
      <c r="T48" s="1">
        <v>1.0</v>
      </c>
      <c r="U48" s="1" t="s">
        <v>1167</v>
      </c>
      <c r="V48" s="1" t="s">
        <v>1326</v>
      </c>
      <c r="W48" s="1">
        <v>4.0</v>
      </c>
      <c r="X48" s="1">
        <v>251700.0</v>
      </c>
      <c r="Y48" s="1">
        <v>1453.0</v>
      </c>
      <c r="Z48" s="1">
        <v>2316.0</v>
      </c>
      <c r="AA48" s="1">
        <v>3319.0</v>
      </c>
      <c r="AB48" s="1" t="s">
        <v>1166</v>
      </c>
      <c r="AC48" s="1">
        <v>0.0</v>
      </c>
      <c r="AD48" s="1">
        <v>0.0</v>
      </c>
      <c r="AE48" s="1">
        <v>0.0</v>
      </c>
      <c r="AF48" s="1">
        <v>0.0</v>
      </c>
      <c r="AG48" s="6">
        <v>45722.62667824074</v>
      </c>
      <c r="AH48" s="1">
        <v>855.0</v>
      </c>
      <c r="AI48" s="1">
        <v>-2.0</v>
      </c>
      <c r="AJ48" s="1">
        <v>845.0</v>
      </c>
      <c r="AK48" s="1">
        <v>-2.0</v>
      </c>
      <c r="AL48" s="1">
        <v>-2.0</v>
      </c>
      <c r="AM48" s="1">
        <v>-2.0</v>
      </c>
      <c r="AN48" s="1">
        <v>-2.0</v>
      </c>
      <c r="AO48" s="1">
        <v>647.0</v>
      </c>
      <c r="AP48" s="1">
        <v>-2.0</v>
      </c>
      <c r="AQ48" s="1">
        <v>431.0</v>
      </c>
      <c r="AR48" s="1">
        <v>-2.0</v>
      </c>
      <c r="AS48" s="1">
        <v>330.0</v>
      </c>
      <c r="AT48" s="1">
        <v>-2.0</v>
      </c>
      <c r="AU48" s="1">
        <v>-2.0</v>
      </c>
      <c r="AV48" s="1">
        <v>-2.0</v>
      </c>
      <c r="AW48" s="1">
        <v>-2.0</v>
      </c>
      <c r="AX48" s="1">
        <v>-2.0</v>
      </c>
      <c r="AY48" s="1">
        <v>-2.0</v>
      </c>
      <c r="AZ48" s="1">
        <v>-2.0</v>
      </c>
      <c r="BA48" s="1">
        <v>1213.0</v>
      </c>
      <c r="BB48" s="1">
        <v>1080.0</v>
      </c>
      <c r="BC48" s="1">
        <v>540.0</v>
      </c>
      <c r="BD48" s="1">
        <v>-2.0</v>
      </c>
      <c r="BE48" s="1">
        <v>-2.0</v>
      </c>
      <c r="BF48" s="1">
        <v>730.0</v>
      </c>
      <c r="BG48" s="1">
        <v>-2.0</v>
      </c>
      <c r="BH48" s="1">
        <v>-2.0</v>
      </c>
      <c r="BI48" s="1">
        <v>-2.0</v>
      </c>
    </row>
    <row r="49">
      <c r="A49" s="3" t="s">
        <v>1327</v>
      </c>
      <c r="B49" s="1">
        <v>1130.0</v>
      </c>
      <c r="C49" s="1" t="s">
        <v>1145</v>
      </c>
      <c r="D49" s="1">
        <v>29954.0</v>
      </c>
      <c r="E49" s="1">
        <v>2090.0</v>
      </c>
      <c r="F49" s="1">
        <v>19.0</v>
      </c>
      <c r="G49" s="1">
        <v>48.0</v>
      </c>
      <c r="H49" s="1" t="s">
        <v>1193</v>
      </c>
      <c r="I49" s="1">
        <v>73.0</v>
      </c>
      <c r="J49" s="1">
        <v>877.0</v>
      </c>
      <c r="K49" s="1">
        <v>4106.0</v>
      </c>
      <c r="L49" s="1">
        <v>41423.0</v>
      </c>
      <c r="M49" s="1">
        <v>0.0</v>
      </c>
      <c r="N49" s="1">
        <v>-1.0</v>
      </c>
      <c r="O49" s="1" t="s">
        <v>1328</v>
      </c>
      <c r="P49" s="1">
        <v>7441.0</v>
      </c>
      <c r="Q49" s="1">
        <v>1305.0</v>
      </c>
      <c r="R49" s="1">
        <v>809.0</v>
      </c>
      <c r="S49" s="1">
        <v>13.0</v>
      </c>
      <c r="T49" s="1">
        <v>0.0</v>
      </c>
      <c r="U49" s="1" t="s">
        <v>1166</v>
      </c>
      <c r="V49" s="1" t="s">
        <v>1329</v>
      </c>
      <c r="W49" s="1">
        <v>4.0</v>
      </c>
      <c r="X49" s="1">
        <v>59249.0</v>
      </c>
      <c r="Y49" s="1">
        <v>787.0</v>
      </c>
      <c r="Z49" s="1">
        <v>1178.0</v>
      </c>
      <c r="AA49" s="1">
        <v>955.0</v>
      </c>
      <c r="AB49" s="1" t="s">
        <v>1166</v>
      </c>
      <c r="AC49" s="1">
        <v>10.0</v>
      </c>
      <c r="AD49" s="1">
        <v>19.0</v>
      </c>
      <c r="AE49" s="1">
        <v>16.0</v>
      </c>
      <c r="AF49" s="1">
        <v>18.0</v>
      </c>
      <c r="AG49" s="6">
        <v>45611.97996527778</v>
      </c>
      <c r="AH49" s="1">
        <v>-2.0</v>
      </c>
      <c r="AI49" s="1">
        <v>2166.0</v>
      </c>
      <c r="AJ49" s="1">
        <v>-2.0</v>
      </c>
      <c r="AK49" s="1">
        <v>1374.0</v>
      </c>
      <c r="AL49" s="1">
        <v>-2.0</v>
      </c>
      <c r="AM49" s="1">
        <v>-2.0</v>
      </c>
      <c r="AN49" s="1">
        <v>-2.0</v>
      </c>
      <c r="AO49" s="1">
        <v>2145.0</v>
      </c>
      <c r="AP49" s="1">
        <v>-2.0</v>
      </c>
      <c r="AQ49" s="1">
        <v>-2.0</v>
      </c>
      <c r="AR49" s="1">
        <v>-2.0</v>
      </c>
      <c r="AS49" s="1">
        <v>1130.0</v>
      </c>
      <c r="AT49" s="1">
        <v>-2.0</v>
      </c>
      <c r="AU49" s="1">
        <v>-2.0</v>
      </c>
      <c r="AV49" s="1">
        <v>1944.0</v>
      </c>
      <c r="AW49" s="1">
        <v>-2.0</v>
      </c>
      <c r="AX49" s="1">
        <v>-2.0</v>
      </c>
      <c r="AY49" s="1">
        <v>1652.0</v>
      </c>
      <c r="AZ49" s="1">
        <v>2759.0</v>
      </c>
      <c r="BA49" s="1">
        <v>1375.0</v>
      </c>
      <c r="BB49" s="1">
        <v>1220.0</v>
      </c>
      <c r="BC49" s="1">
        <v>-2.0</v>
      </c>
      <c r="BD49" s="1">
        <v>-2.0</v>
      </c>
      <c r="BE49" s="1">
        <v>-2.0</v>
      </c>
      <c r="BF49" s="1">
        <v>-2.0</v>
      </c>
      <c r="BG49" s="1">
        <v>-2.0</v>
      </c>
      <c r="BH49" s="1">
        <v>3227.0</v>
      </c>
      <c r="BI49" s="1">
        <v>-2.0</v>
      </c>
    </row>
    <row r="50">
      <c r="A50" s="3" t="s">
        <v>1330</v>
      </c>
      <c r="B50" s="1">
        <v>54.0</v>
      </c>
      <c r="C50" s="1" t="s">
        <v>1197</v>
      </c>
      <c r="D50" s="1">
        <v>437.0</v>
      </c>
      <c r="E50" s="1">
        <v>231.0</v>
      </c>
      <c r="F50" s="1">
        <v>47.0</v>
      </c>
      <c r="G50" s="1">
        <v>38.0</v>
      </c>
      <c r="H50" s="1" t="s">
        <v>1258</v>
      </c>
      <c r="I50" s="1">
        <v>51.0</v>
      </c>
      <c r="J50" s="1">
        <v>12.0</v>
      </c>
      <c r="K50" s="1">
        <v>145.0</v>
      </c>
      <c r="L50" s="1">
        <v>55.0</v>
      </c>
      <c r="M50" s="1">
        <v>0.0</v>
      </c>
      <c r="N50" s="1">
        <v>-1.0</v>
      </c>
      <c r="O50" s="1" t="s">
        <v>1331</v>
      </c>
      <c r="P50" s="1">
        <v>801.0</v>
      </c>
      <c r="Q50" s="1">
        <v>166.0</v>
      </c>
      <c r="R50" s="1">
        <v>132.0</v>
      </c>
      <c r="S50" s="1">
        <v>1.0</v>
      </c>
      <c r="T50" s="1">
        <v>0.0</v>
      </c>
      <c r="U50" s="1" t="s">
        <v>1166</v>
      </c>
      <c r="V50" s="1" t="s">
        <v>1332</v>
      </c>
      <c r="W50" s="1">
        <v>0.0</v>
      </c>
      <c r="X50" s="1">
        <v>632150.0</v>
      </c>
      <c r="Y50" s="1">
        <v>39.0</v>
      </c>
      <c r="Z50" s="1">
        <v>111.0</v>
      </c>
      <c r="AA50" s="1">
        <v>224.0</v>
      </c>
      <c r="AB50" s="1" t="s">
        <v>1166</v>
      </c>
      <c r="AC50" s="1">
        <v>0.0</v>
      </c>
      <c r="AD50" s="1">
        <v>0.0</v>
      </c>
      <c r="AE50" s="1">
        <v>0.0</v>
      </c>
      <c r="AF50" s="1">
        <v>0.0</v>
      </c>
      <c r="AG50" s="6">
        <v>45611.982256944444</v>
      </c>
      <c r="AH50" s="1">
        <v>199.0</v>
      </c>
      <c r="AI50" s="1">
        <v>54.0</v>
      </c>
      <c r="AJ50" s="1">
        <v>65.0</v>
      </c>
      <c r="AK50" s="1">
        <v>63.0</v>
      </c>
      <c r="AL50" s="1">
        <v>70.0</v>
      </c>
      <c r="AM50" s="1">
        <v>-2.0</v>
      </c>
      <c r="AN50" s="1">
        <v>59.0</v>
      </c>
      <c r="AO50" s="1">
        <v>77.0</v>
      </c>
      <c r="AP50" s="1">
        <v>82.0</v>
      </c>
      <c r="AQ50" s="1">
        <v>69.0</v>
      </c>
      <c r="AR50" s="1">
        <v>-2.0</v>
      </c>
      <c r="AS50" s="1">
        <v>69.0</v>
      </c>
      <c r="AT50" s="1">
        <v>-2.0</v>
      </c>
      <c r="AU50" s="1">
        <v>64.0</v>
      </c>
      <c r="AV50" s="1">
        <v>276.0</v>
      </c>
      <c r="AW50" s="1">
        <v>-2.0</v>
      </c>
      <c r="AX50" s="1">
        <v>230.0</v>
      </c>
      <c r="AY50" s="1">
        <v>-2.0</v>
      </c>
      <c r="AZ50" s="1">
        <v>114.0</v>
      </c>
      <c r="BA50" s="1">
        <v>188.0</v>
      </c>
      <c r="BB50" s="1">
        <v>160.0</v>
      </c>
      <c r="BC50" s="1">
        <v>100.0</v>
      </c>
      <c r="BD50" s="1">
        <v>-2.0</v>
      </c>
      <c r="BE50" s="1">
        <v>-2.0</v>
      </c>
      <c r="BF50" s="1">
        <v>80.0</v>
      </c>
      <c r="BG50" s="1">
        <v>-2.0</v>
      </c>
      <c r="BH50" s="1">
        <v>183.0</v>
      </c>
      <c r="BI50" s="1">
        <v>75.0</v>
      </c>
    </row>
    <row r="51">
      <c r="A51" s="3" t="s">
        <v>1333</v>
      </c>
      <c r="B51" s="1">
        <v>12500.0</v>
      </c>
      <c r="C51" s="1" t="s">
        <v>1169</v>
      </c>
      <c r="D51" s="1">
        <v>6303744.0</v>
      </c>
      <c r="E51" s="1">
        <v>112518.0</v>
      </c>
      <c r="F51" s="1">
        <v>81.0</v>
      </c>
      <c r="G51" s="1">
        <v>68.0</v>
      </c>
      <c r="H51" s="1" t="s">
        <v>1207</v>
      </c>
      <c r="I51" s="1">
        <v>91.0</v>
      </c>
      <c r="J51" s="1">
        <v>87085.0</v>
      </c>
      <c r="K51" s="1">
        <v>222003.0</v>
      </c>
      <c r="L51" s="1">
        <v>723482.0</v>
      </c>
      <c r="M51" s="1">
        <v>1.0</v>
      </c>
      <c r="N51" s="1">
        <v>-1.0</v>
      </c>
      <c r="O51" s="1" t="s">
        <v>1334</v>
      </c>
      <c r="P51" s="1">
        <v>3.6015409E7</v>
      </c>
      <c r="Q51" s="1">
        <v>54183.0</v>
      </c>
      <c r="R51" s="1">
        <v>25471.0</v>
      </c>
      <c r="S51" s="1">
        <v>596.0</v>
      </c>
      <c r="T51" s="1">
        <v>70.0</v>
      </c>
      <c r="U51" s="1" t="s">
        <v>1335</v>
      </c>
      <c r="V51" s="1" t="s">
        <v>1336</v>
      </c>
      <c r="W51" s="1">
        <v>20.0</v>
      </c>
      <c r="X51" s="1">
        <v>912.0</v>
      </c>
      <c r="Y51" s="1">
        <v>48342.0</v>
      </c>
      <c r="Z51" s="1">
        <v>63226.0</v>
      </c>
      <c r="AA51" s="1">
        <v>60963.0</v>
      </c>
      <c r="AB51" s="1" t="s">
        <v>1166</v>
      </c>
      <c r="AC51" s="1">
        <v>55.0</v>
      </c>
      <c r="AD51" s="1">
        <v>98.0</v>
      </c>
      <c r="AE51" s="1">
        <v>357.0</v>
      </c>
      <c r="AF51" s="1">
        <v>31.0</v>
      </c>
      <c r="AG51" s="6">
        <v>45904.092673611114</v>
      </c>
      <c r="AH51" s="1">
        <v>-2.0</v>
      </c>
      <c r="AI51" s="1">
        <v>-2.0</v>
      </c>
      <c r="AJ51" s="1">
        <v>-2.0</v>
      </c>
      <c r="AK51" s="1">
        <v>12500.0</v>
      </c>
      <c r="AL51" s="1">
        <v>-2.0</v>
      </c>
      <c r="AM51" s="1">
        <v>-2.0</v>
      </c>
      <c r="AN51" s="1">
        <v>-2.0</v>
      </c>
      <c r="AO51" s="1">
        <v>15960.0</v>
      </c>
      <c r="AP51" s="1">
        <v>-2.0</v>
      </c>
      <c r="AQ51" s="1">
        <v>-2.0</v>
      </c>
      <c r="AR51" s="1">
        <v>-2.0</v>
      </c>
      <c r="AS51" s="1">
        <v>-2.0</v>
      </c>
      <c r="AT51" s="1">
        <v>-2.0</v>
      </c>
      <c r="AU51" s="1">
        <v>-2.0</v>
      </c>
      <c r="AV51" s="1">
        <v>-2.0</v>
      </c>
      <c r="AW51" s="1">
        <v>-2.0</v>
      </c>
      <c r="AX51" s="1">
        <v>-2.0</v>
      </c>
      <c r="AY51" s="1">
        <v>13530.0</v>
      </c>
      <c r="AZ51" s="1">
        <v>13902.0</v>
      </c>
      <c r="BA51" s="1">
        <v>-2.0</v>
      </c>
      <c r="BB51" s="1">
        <v>-2.0</v>
      </c>
      <c r="BC51" s="1">
        <v>-2.0</v>
      </c>
      <c r="BD51" s="1">
        <v>-2.0</v>
      </c>
      <c r="BE51" s="1">
        <v>-2.0</v>
      </c>
      <c r="BF51" s="1">
        <v>-2.0</v>
      </c>
      <c r="BG51" s="1">
        <v>-2.0</v>
      </c>
      <c r="BH51" s="1">
        <v>-2.0</v>
      </c>
      <c r="BI51" s="1">
        <v>13000.0</v>
      </c>
    </row>
    <row r="52">
      <c r="A52" s="3" t="s">
        <v>1337</v>
      </c>
      <c r="B52" s="1">
        <v>602.0</v>
      </c>
      <c r="C52" s="1" t="s">
        <v>1338</v>
      </c>
      <c r="D52" s="1">
        <v>28483.0</v>
      </c>
      <c r="E52" s="1">
        <v>2200.0</v>
      </c>
      <c r="F52" s="1">
        <v>22.0</v>
      </c>
      <c r="G52" s="1">
        <v>44.0</v>
      </c>
      <c r="H52" s="1" t="s">
        <v>1175</v>
      </c>
      <c r="I52" s="1">
        <v>73.0</v>
      </c>
      <c r="J52" s="1">
        <v>778.0</v>
      </c>
      <c r="K52" s="1">
        <v>3473.0</v>
      </c>
      <c r="L52" s="1">
        <v>10044.0</v>
      </c>
      <c r="M52" s="1">
        <v>1.0</v>
      </c>
      <c r="N52" s="1">
        <v>-1.0</v>
      </c>
      <c r="O52" s="1" t="s">
        <v>1339</v>
      </c>
      <c r="P52" s="1">
        <v>10145.0</v>
      </c>
      <c r="Q52" s="1">
        <v>1379.0</v>
      </c>
      <c r="R52" s="1">
        <v>909.0</v>
      </c>
      <c r="S52" s="1">
        <v>5.0</v>
      </c>
      <c r="T52" s="1">
        <v>2.0</v>
      </c>
      <c r="U52" s="1" t="s">
        <v>1166</v>
      </c>
      <c r="V52" s="1" t="s">
        <v>1340</v>
      </c>
      <c r="W52" s="1">
        <v>5.0</v>
      </c>
      <c r="X52" s="1">
        <v>55017.0</v>
      </c>
      <c r="Y52" s="1">
        <v>651.0</v>
      </c>
      <c r="Z52" s="1">
        <v>2651.0</v>
      </c>
      <c r="AA52" s="1">
        <v>3150.0</v>
      </c>
      <c r="AB52" s="1" t="s">
        <v>1166</v>
      </c>
      <c r="AC52" s="1">
        <v>0.0</v>
      </c>
      <c r="AD52" s="1">
        <v>0.0</v>
      </c>
      <c r="AE52" s="1">
        <v>0.0</v>
      </c>
      <c r="AF52" s="1">
        <v>0.0</v>
      </c>
      <c r="AG52" s="6">
        <v>45611.97840277778</v>
      </c>
      <c r="AH52" s="1">
        <v>-2.0</v>
      </c>
      <c r="AI52" s="1">
        <v>-2.0</v>
      </c>
      <c r="AJ52" s="1">
        <v>638.0</v>
      </c>
      <c r="AK52" s="1">
        <v>611.0</v>
      </c>
      <c r="AL52" s="1">
        <v>-2.0</v>
      </c>
      <c r="AM52" s="1">
        <v>-2.0</v>
      </c>
      <c r="AN52" s="1">
        <v>-2.0</v>
      </c>
      <c r="AO52" s="1">
        <v>823.0</v>
      </c>
      <c r="AP52" s="1">
        <v>-2.0</v>
      </c>
      <c r="AQ52" s="1">
        <v>-2.0</v>
      </c>
      <c r="AR52" s="1">
        <v>912.0</v>
      </c>
      <c r="AS52" s="1">
        <v>638.0</v>
      </c>
      <c r="AT52" s="1">
        <v>-2.0</v>
      </c>
      <c r="AU52" s="1">
        <v>-2.0</v>
      </c>
      <c r="AV52" s="1">
        <v>882.0</v>
      </c>
      <c r="AW52" s="1">
        <v>-2.0</v>
      </c>
      <c r="AX52" s="1">
        <v>896.0</v>
      </c>
      <c r="AY52" s="1">
        <v>612.0</v>
      </c>
      <c r="AZ52" s="1">
        <v>625.0</v>
      </c>
      <c r="BA52" s="1">
        <v>844.0</v>
      </c>
      <c r="BB52" s="1">
        <v>825.0</v>
      </c>
      <c r="BC52" s="1">
        <v>700.0</v>
      </c>
      <c r="BD52" s="1">
        <v>-2.0</v>
      </c>
      <c r="BE52" s="1">
        <v>-2.0</v>
      </c>
      <c r="BF52" s="1">
        <v>-2.0</v>
      </c>
      <c r="BG52" s="1">
        <v>1167.0</v>
      </c>
      <c r="BH52" s="1">
        <v>602.0</v>
      </c>
      <c r="BI52" s="1">
        <v>-2.0</v>
      </c>
    </row>
    <row r="53">
      <c r="A53" s="3" t="s">
        <v>1341</v>
      </c>
      <c r="B53" s="1">
        <v>1180.0</v>
      </c>
      <c r="C53" s="1" t="s">
        <v>1283</v>
      </c>
      <c r="D53" s="1">
        <v>20670.0</v>
      </c>
      <c r="E53" s="1">
        <v>6712.0</v>
      </c>
      <c r="F53" s="1">
        <v>29.0</v>
      </c>
      <c r="G53" s="1">
        <v>51.0</v>
      </c>
      <c r="H53" s="1" t="s">
        <v>1342</v>
      </c>
      <c r="I53" s="1">
        <v>79.0</v>
      </c>
      <c r="J53" s="1">
        <v>976.0</v>
      </c>
      <c r="K53" s="1">
        <v>3335.0</v>
      </c>
      <c r="L53" s="1">
        <v>10828.0</v>
      </c>
      <c r="M53" s="1">
        <v>1.0</v>
      </c>
      <c r="N53" s="1">
        <v>-1.0</v>
      </c>
      <c r="O53" s="1" t="s">
        <v>1343</v>
      </c>
      <c r="P53" s="1">
        <v>334795.0</v>
      </c>
      <c r="Q53" s="1">
        <v>3786.0</v>
      </c>
      <c r="R53" s="1">
        <v>2400.0</v>
      </c>
      <c r="S53" s="1">
        <v>16.0</v>
      </c>
      <c r="T53" s="1">
        <v>1.0</v>
      </c>
      <c r="U53" s="1" t="s">
        <v>1167</v>
      </c>
      <c r="V53" s="1" t="s">
        <v>1344</v>
      </c>
      <c r="W53" s="1">
        <v>4.0</v>
      </c>
      <c r="X53" s="1">
        <v>14452.0</v>
      </c>
      <c r="Y53" s="1">
        <v>785.0</v>
      </c>
      <c r="Z53" s="1">
        <v>808.0</v>
      </c>
      <c r="AA53" s="1">
        <v>553.0</v>
      </c>
      <c r="AB53" s="1" t="s">
        <v>1166</v>
      </c>
      <c r="AC53" s="1">
        <v>0.0</v>
      </c>
      <c r="AD53" s="1">
        <v>0.0</v>
      </c>
      <c r="AE53" s="1">
        <v>0.0</v>
      </c>
      <c r="AF53" s="1">
        <v>0.0</v>
      </c>
      <c r="AG53" s="6">
        <v>45611.99025462963</v>
      </c>
      <c r="AH53" s="1">
        <v>-2.0</v>
      </c>
      <c r="AI53" s="1">
        <v>-2.0</v>
      </c>
      <c r="AJ53" s="1">
        <v>-2.0</v>
      </c>
      <c r="AK53" s="1">
        <v>1601.0</v>
      </c>
      <c r="AL53" s="1">
        <v>-2.0</v>
      </c>
      <c r="AM53" s="1">
        <v>-2.0</v>
      </c>
      <c r="AN53" s="1">
        <v>-2.0</v>
      </c>
      <c r="AO53" s="1">
        <v>3900.0</v>
      </c>
      <c r="AP53" s="1">
        <v>-2.0</v>
      </c>
      <c r="AQ53" s="1">
        <v>-2.0</v>
      </c>
      <c r="AR53" s="1">
        <v>-2.0</v>
      </c>
      <c r="AS53" s="1">
        <v>-2.0</v>
      </c>
      <c r="AT53" s="1">
        <v>-2.0</v>
      </c>
      <c r="AU53" s="1">
        <v>-2.0</v>
      </c>
      <c r="AV53" s="1">
        <v>4900.0</v>
      </c>
      <c r="AW53" s="1">
        <v>-2.0</v>
      </c>
      <c r="AX53" s="1">
        <v>-2.0</v>
      </c>
      <c r="AY53" s="1">
        <v>1180.0</v>
      </c>
      <c r="AZ53" s="1">
        <v>-2.0</v>
      </c>
      <c r="BA53" s="1">
        <v>-2.0</v>
      </c>
      <c r="BB53" s="1">
        <v>-2.0</v>
      </c>
      <c r="BC53" s="1">
        <v>1950.0</v>
      </c>
      <c r="BD53" s="1">
        <v>4366.0</v>
      </c>
      <c r="BE53" s="1">
        <v>-2.0</v>
      </c>
      <c r="BF53" s="1">
        <v>-2.0</v>
      </c>
      <c r="BG53" s="1">
        <v>-2.0</v>
      </c>
      <c r="BH53" s="1">
        <v>2433.0</v>
      </c>
      <c r="BI53" s="1">
        <v>-2.0</v>
      </c>
    </row>
    <row r="54">
      <c r="A54" s="3" t="s">
        <v>1345</v>
      </c>
      <c r="B54" s="1">
        <v>400.0</v>
      </c>
      <c r="C54" s="1" t="s">
        <v>1321</v>
      </c>
      <c r="D54" s="1">
        <v>12758.0</v>
      </c>
      <c r="E54" s="1">
        <v>1552.0</v>
      </c>
      <c r="F54" s="1">
        <v>23.0</v>
      </c>
      <c r="G54" s="1">
        <v>43.0</v>
      </c>
      <c r="H54" s="1" t="s">
        <v>1346</v>
      </c>
      <c r="I54" s="1">
        <v>56.0</v>
      </c>
      <c r="J54" s="1">
        <v>326.0</v>
      </c>
      <c r="K54" s="1">
        <v>1265.0</v>
      </c>
      <c r="L54" s="1">
        <v>7298.0</v>
      </c>
      <c r="M54" s="1">
        <v>1.0</v>
      </c>
      <c r="N54" s="1">
        <v>-1.0</v>
      </c>
      <c r="O54" s="1" t="s">
        <v>1347</v>
      </c>
      <c r="P54" s="1">
        <v>13850.0</v>
      </c>
      <c r="Q54" s="1">
        <v>915.0</v>
      </c>
      <c r="R54" s="1">
        <v>648.0</v>
      </c>
      <c r="S54" s="1">
        <v>3.0</v>
      </c>
      <c r="T54" s="1">
        <v>0.0</v>
      </c>
      <c r="U54" s="1" t="s">
        <v>1166</v>
      </c>
      <c r="V54" s="1" t="s">
        <v>1348</v>
      </c>
      <c r="W54" s="1">
        <v>0.0</v>
      </c>
      <c r="X54" s="1">
        <v>360863.0</v>
      </c>
      <c r="Y54" s="1">
        <v>580.0</v>
      </c>
      <c r="Z54" s="1">
        <v>1604.0</v>
      </c>
      <c r="AA54" s="1">
        <v>1901.0</v>
      </c>
      <c r="AB54" s="1" t="s">
        <v>1166</v>
      </c>
      <c r="AC54" s="1">
        <v>0.0</v>
      </c>
      <c r="AD54" s="1">
        <v>0.0</v>
      </c>
      <c r="AE54" s="1">
        <v>0.0</v>
      </c>
      <c r="AF54" s="1">
        <v>0.0</v>
      </c>
      <c r="AG54" s="6">
        <v>45828.14975694445</v>
      </c>
      <c r="AH54" s="1">
        <v>530.0</v>
      </c>
      <c r="AI54" s="1">
        <v>724.0</v>
      </c>
      <c r="AJ54" s="1">
        <v>-2.0</v>
      </c>
      <c r="AK54" s="1">
        <v>-2.0</v>
      </c>
      <c r="AL54" s="1">
        <v>-2.0</v>
      </c>
      <c r="AM54" s="1">
        <v>-2.0</v>
      </c>
      <c r="AN54" s="1">
        <v>-2.0</v>
      </c>
      <c r="AO54" s="1">
        <v>601.0</v>
      </c>
      <c r="AP54" s="1">
        <v>400.0</v>
      </c>
      <c r="AQ54" s="1">
        <v>-2.0</v>
      </c>
      <c r="AR54" s="1">
        <v>-2.0</v>
      </c>
      <c r="AS54" s="1">
        <v>-2.0</v>
      </c>
      <c r="AT54" s="1">
        <v>-2.0</v>
      </c>
      <c r="AU54" s="1">
        <v>-2.0</v>
      </c>
      <c r="AV54" s="1">
        <v>-2.0</v>
      </c>
      <c r="AW54" s="1">
        <v>-2.0</v>
      </c>
      <c r="AX54" s="1">
        <v>-2.0</v>
      </c>
      <c r="AY54" s="1">
        <v>-2.0</v>
      </c>
      <c r="AZ54" s="1">
        <v>1837.0</v>
      </c>
      <c r="BA54" s="1">
        <v>-2.0</v>
      </c>
      <c r="BB54" s="1">
        <v>-2.0</v>
      </c>
      <c r="BC54" s="1">
        <v>-2.0</v>
      </c>
      <c r="BD54" s="1">
        <v>-2.0</v>
      </c>
      <c r="BE54" s="1">
        <v>-2.0</v>
      </c>
      <c r="BF54" s="1">
        <v>-2.0</v>
      </c>
      <c r="BG54" s="1">
        <v>-2.0</v>
      </c>
      <c r="BH54" s="1">
        <v>-2.0</v>
      </c>
      <c r="BI54" s="1">
        <v>-2.0</v>
      </c>
    </row>
    <row r="55">
      <c r="A55" s="3" t="s">
        <v>1349</v>
      </c>
      <c r="B55" s="1">
        <v>1193.0</v>
      </c>
      <c r="C55" s="1" t="s">
        <v>1169</v>
      </c>
      <c r="D55" s="1">
        <v>23568.0</v>
      </c>
      <c r="E55" s="1">
        <v>1175.0</v>
      </c>
      <c r="F55" s="1">
        <v>20.0</v>
      </c>
      <c r="G55" s="1">
        <v>47.0</v>
      </c>
      <c r="H55" s="1" t="s">
        <v>1350</v>
      </c>
      <c r="I55" s="1">
        <v>61.0</v>
      </c>
      <c r="J55" s="1">
        <v>699.0</v>
      </c>
      <c r="K55" s="1">
        <v>3733.0</v>
      </c>
      <c r="L55" s="1">
        <v>15182.0</v>
      </c>
      <c r="M55" s="1">
        <v>0.0</v>
      </c>
      <c r="N55" s="1">
        <v>-1.0</v>
      </c>
      <c r="O55" s="1" t="s">
        <v>1351</v>
      </c>
      <c r="P55" s="1">
        <v>9148.0</v>
      </c>
      <c r="Q55" s="1">
        <v>668.0</v>
      </c>
      <c r="R55" s="1">
        <v>512.0</v>
      </c>
      <c r="S55" s="1">
        <v>0.0</v>
      </c>
      <c r="T55" s="1">
        <v>0.0</v>
      </c>
      <c r="U55" s="1" t="s">
        <v>1167</v>
      </c>
      <c r="V55" s="1" t="s">
        <v>1238</v>
      </c>
      <c r="W55" s="1">
        <v>9.0</v>
      </c>
      <c r="X55" s="1">
        <v>247957.0</v>
      </c>
      <c r="Y55" s="1">
        <v>701.0</v>
      </c>
      <c r="Z55" s="1">
        <v>561.0</v>
      </c>
      <c r="AA55" s="1">
        <v>347.0</v>
      </c>
      <c r="AB55" s="1" t="s">
        <v>1166</v>
      </c>
      <c r="AC55" s="1">
        <v>17.0</v>
      </c>
      <c r="AD55" s="1">
        <v>22.0</v>
      </c>
      <c r="AE55" s="1">
        <v>20.0</v>
      </c>
      <c r="AF55" s="1">
        <v>11.0</v>
      </c>
      <c r="AG55" s="6">
        <v>45904.09726851852</v>
      </c>
      <c r="AH55" s="1">
        <v>-2.0</v>
      </c>
      <c r="AI55" s="1">
        <v>-2.0</v>
      </c>
      <c r="AJ55" s="1">
        <v>-2.0</v>
      </c>
      <c r="AK55" s="1">
        <v>1193.0</v>
      </c>
      <c r="AL55" s="1">
        <v>-2.0</v>
      </c>
      <c r="AM55" s="1">
        <v>-2.0</v>
      </c>
      <c r="AN55" s="1">
        <v>-2.0</v>
      </c>
      <c r="AO55" s="1">
        <v>-2.0</v>
      </c>
      <c r="AP55" s="1">
        <v>-2.0</v>
      </c>
      <c r="AQ55" s="1">
        <v>-2.0</v>
      </c>
      <c r="AR55" s="1">
        <v>-2.0</v>
      </c>
      <c r="AS55" s="1">
        <v>-2.0</v>
      </c>
      <c r="AT55" s="1">
        <v>-2.0</v>
      </c>
      <c r="AU55" s="1">
        <v>-2.0</v>
      </c>
      <c r="AV55" s="1">
        <v>-2.0</v>
      </c>
      <c r="AW55" s="1">
        <v>-2.0</v>
      </c>
      <c r="AX55" s="1">
        <v>-2.0</v>
      </c>
      <c r="AY55" s="1">
        <v>1578.0</v>
      </c>
      <c r="AZ55" s="1">
        <v>-2.0</v>
      </c>
      <c r="BA55" s="1">
        <v>-2.0</v>
      </c>
      <c r="BB55" s="1">
        <v>-2.0</v>
      </c>
      <c r="BC55" s="1">
        <v>-2.0</v>
      </c>
      <c r="BD55" s="1">
        <v>-2.0</v>
      </c>
      <c r="BE55" s="1">
        <v>-2.0</v>
      </c>
      <c r="BF55" s="1">
        <v>-2.0</v>
      </c>
      <c r="BG55" s="1">
        <v>-2.0</v>
      </c>
      <c r="BH55" s="1">
        <v>-2.0</v>
      </c>
      <c r="BI55" s="1">
        <v>-2.0</v>
      </c>
    </row>
    <row r="56">
      <c r="A56" s="3" t="s">
        <v>1352</v>
      </c>
      <c r="B56" s="1">
        <v>1218.0</v>
      </c>
      <c r="C56" s="1" t="s">
        <v>1353</v>
      </c>
      <c r="D56" s="1">
        <v>1415798.0</v>
      </c>
      <c r="E56" s="1">
        <v>5539.0</v>
      </c>
      <c r="F56" s="1">
        <v>24.0</v>
      </c>
      <c r="G56" s="1">
        <v>54.0</v>
      </c>
      <c r="H56" s="1" t="s">
        <v>1175</v>
      </c>
      <c r="I56" s="1">
        <v>80.0</v>
      </c>
      <c r="J56" s="1">
        <v>109392.0</v>
      </c>
      <c r="K56" s="1">
        <v>253888.0</v>
      </c>
      <c r="L56" s="1">
        <v>354711.0</v>
      </c>
      <c r="M56" s="1">
        <v>0.0</v>
      </c>
      <c r="N56" s="1">
        <v>-1.0</v>
      </c>
      <c r="O56" s="1" t="s">
        <v>1354</v>
      </c>
      <c r="P56" s="1">
        <v>1724628.0</v>
      </c>
      <c r="Q56" s="1">
        <v>3430.0</v>
      </c>
      <c r="R56" s="1">
        <v>1979.0</v>
      </c>
      <c r="S56" s="1">
        <v>14.0</v>
      </c>
      <c r="T56" s="1">
        <v>3.0</v>
      </c>
      <c r="U56" s="1" t="s">
        <v>1166</v>
      </c>
      <c r="V56" s="1" t="s">
        <v>1167</v>
      </c>
      <c r="W56" s="1">
        <v>69.0</v>
      </c>
      <c r="X56" s="1">
        <v>11887.0</v>
      </c>
      <c r="Y56" s="1">
        <v>30813.0</v>
      </c>
      <c r="Z56" s="1">
        <v>19325.0</v>
      </c>
      <c r="AA56" s="1">
        <v>4455.0</v>
      </c>
      <c r="AB56" s="1" t="s">
        <v>1166</v>
      </c>
      <c r="AC56" s="1">
        <v>46.0</v>
      </c>
      <c r="AD56" s="1">
        <v>61.0</v>
      </c>
      <c r="AE56" s="1">
        <v>120.0</v>
      </c>
      <c r="AF56" s="1">
        <v>302.0</v>
      </c>
      <c r="AG56" s="6">
        <v>45904.13295138889</v>
      </c>
      <c r="AH56" s="1">
        <v>-2.0</v>
      </c>
      <c r="AI56" s="1">
        <v>-2.0</v>
      </c>
      <c r="AJ56" s="1">
        <v>-2.0</v>
      </c>
      <c r="AK56" s="1">
        <v>-2.0</v>
      </c>
      <c r="AL56" s="1">
        <v>-2.0</v>
      </c>
      <c r="AM56" s="1">
        <v>-2.0</v>
      </c>
      <c r="AN56" s="1">
        <v>-2.0</v>
      </c>
      <c r="AO56" s="1">
        <v>1540.0</v>
      </c>
      <c r="AP56" s="1">
        <v>-2.0</v>
      </c>
      <c r="AQ56" s="1">
        <v>-2.0</v>
      </c>
      <c r="AR56" s="1">
        <v>-2.0</v>
      </c>
      <c r="AS56" s="1">
        <v>-2.0</v>
      </c>
      <c r="AT56" s="1">
        <v>1218.0</v>
      </c>
      <c r="AU56" s="1">
        <v>-2.0</v>
      </c>
      <c r="AV56" s="1">
        <v>-2.0</v>
      </c>
      <c r="AW56" s="1">
        <v>-2.0</v>
      </c>
      <c r="AX56" s="1">
        <v>-2.0</v>
      </c>
      <c r="AY56" s="1">
        <v>-2.0</v>
      </c>
      <c r="AZ56" s="1">
        <v>-2.0</v>
      </c>
      <c r="BA56" s="1">
        <v>-2.0</v>
      </c>
      <c r="BB56" s="1">
        <v>-2.0</v>
      </c>
      <c r="BC56" s="1">
        <v>-2.0</v>
      </c>
      <c r="BD56" s="1">
        <v>-2.0</v>
      </c>
      <c r="BE56" s="1">
        <v>-2.0</v>
      </c>
      <c r="BF56" s="1">
        <v>-2.0</v>
      </c>
      <c r="BG56" s="1">
        <v>-2.0</v>
      </c>
      <c r="BH56" s="1">
        <v>-2.0</v>
      </c>
      <c r="BI56" s="1">
        <v>-2.0</v>
      </c>
    </row>
    <row r="57">
      <c r="A57" s="3" t="s">
        <v>1355</v>
      </c>
      <c r="B57" s="1">
        <v>374.0</v>
      </c>
      <c r="C57" s="1" t="s">
        <v>1169</v>
      </c>
      <c r="D57" s="1">
        <v>2880.0</v>
      </c>
      <c r="E57" s="1">
        <v>831.0</v>
      </c>
      <c r="F57" s="1">
        <v>29.0</v>
      </c>
      <c r="G57" s="1">
        <v>41.0</v>
      </c>
      <c r="H57" s="1" t="s">
        <v>1356</v>
      </c>
      <c r="I57" s="1">
        <v>65.0</v>
      </c>
      <c r="J57" s="1">
        <v>66.0</v>
      </c>
      <c r="K57" s="1">
        <v>191.0</v>
      </c>
      <c r="L57" s="1">
        <v>4476.0</v>
      </c>
      <c r="M57" s="1">
        <v>0.0</v>
      </c>
      <c r="N57" s="1">
        <v>-1.0</v>
      </c>
      <c r="O57" s="1" t="s">
        <v>1357</v>
      </c>
      <c r="P57" s="1">
        <v>22322.0</v>
      </c>
      <c r="Q57" s="1">
        <v>547.0</v>
      </c>
      <c r="R57" s="1">
        <v>393.0</v>
      </c>
      <c r="S57" s="1">
        <v>1.0</v>
      </c>
      <c r="T57" s="1">
        <v>0.0</v>
      </c>
      <c r="U57" s="1" t="s">
        <v>1167</v>
      </c>
      <c r="V57" s="1" t="s">
        <v>1167</v>
      </c>
      <c r="W57" s="1">
        <v>5.0</v>
      </c>
      <c r="X57" s="1">
        <v>167156.0</v>
      </c>
      <c r="Y57" s="1">
        <v>81.0</v>
      </c>
      <c r="Z57" s="1">
        <v>284.0</v>
      </c>
      <c r="AA57" s="1">
        <v>587.0</v>
      </c>
      <c r="AB57" s="1" t="s">
        <v>1166</v>
      </c>
      <c r="AC57" s="1">
        <v>0.0</v>
      </c>
      <c r="AD57" s="1">
        <v>0.0</v>
      </c>
      <c r="AE57" s="1">
        <v>0.0</v>
      </c>
      <c r="AF57" s="1">
        <v>0.0</v>
      </c>
      <c r="AG57" s="6">
        <v>45611.979837962965</v>
      </c>
      <c r="AH57" s="1">
        <v>-2.0</v>
      </c>
      <c r="AI57" s="1">
        <v>576.0</v>
      </c>
      <c r="AJ57" s="1">
        <v>391.0</v>
      </c>
      <c r="AK57" s="1">
        <v>374.0</v>
      </c>
      <c r="AL57" s="1">
        <v>-2.0</v>
      </c>
      <c r="AM57" s="1">
        <v>-2.0</v>
      </c>
      <c r="AN57" s="1">
        <v>390.0</v>
      </c>
      <c r="AO57" s="1">
        <v>462.0</v>
      </c>
      <c r="AP57" s="1">
        <v>429.0</v>
      </c>
      <c r="AQ57" s="1">
        <v>381.0</v>
      </c>
      <c r="AR57" s="1">
        <v>700.0</v>
      </c>
      <c r="AS57" s="1">
        <v>375.0</v>
      </c>
      <c r="AT57" s="1">
        <v>-2.0</v>
      </c>
      <c r="AU57" s="1">
        <v>-2.0</v>
      </c>
      <c r="AV57" s="1">
        <v>-2.0</v>
      </c>
      <c r="AW57" s="1">
        <v>-2.0</v>
      </c>
      <c r="AX57" s="1">
        <v>-2.0</v>
      </c>
      <c r="AY57" s="1">
        <v>400.0</v>
      </c>
      <c r="AZ57" s="1">
        <v>490.0</v>
      </c>
      <c r="BA57" s="1">
        <v>750.0</v>
      </c>
      <c r="BB57" s="1">
        <v>1000.0</v>
      </c>
      <c r="BC57" s="1">
        <v>850.0</v>
      </c>
      <c r="BD57" s="1">
        <v>-2.0</v>
      </c>
      <c r="BE57" s="1">
        <v>-2.0</v>
      </c>
      <c r="BF57" s="1">
        <v>405.0</v>
      </c>
      <c r="BG57" s="1">
        <v>-2.0</v>
      </c>
      <c r="BH57" s="1">
        <v>748.0</v>
      </c>
      <c r="BI57" s="1">
        <v>-2.0</v>
      </c>
    </row>
    <row r="58">
      <c r="A58" s="3" t="s">
        <v>1358</v>
      </c>
      <c r="B58" s="1">
        <v>2650.0</v>
      </c>
      <c r="C58" s="1" t="s">
        <v>1144</v>
      </c>
      <c r="D58" s="1">
        <v>899350.0</v>
      </c>
      <c r="E58" s="1">
        <v>7079.0</v>
      </c>
      <c r="F58" s="1">
        <v>55.0</v>
      </c>
      <c r="G58" s="1">
        <v>51.0</v>
      </c>
      <c r="H58" s="1" t="s">
        <v>1164</v>
      </c>
      <c r="I58" s="1">
        <v>76.0</v>
      </c>
      <c r="J58" s="1">
        <v>3269.0</v>
      </c>
      <c r="K58" s="1">
        <v>16016.0</v>
      </c>
      <c r="L58" s="1">
        <v>108689.0</v>
      </c>
      <c r="M58" s="1">
        <v>1.0</v>
      </c>
      <c r="N58" s="1">
        <v>-1.0</v>
      </c>
      <c r="O58" s="1" t="s">
        <v>1359</v>
      </c>
      <c r="P58" s="1">
        <v>788836.0</v>
      </c>
      <c r="Q58" s="1">
        <v>4248.0</v>
      </c>
      <c r="R58" s="1">
        <v>2521.0</v>
      </c>
      <c r="S58" s="1">
        <v>23.0</v>
      </c>
      <c r="T58" s="1">
        <v>4.0</v>
      </c>
      <c r="U58" s="1" t="s">
        <v>1167</v>
      </c>
      <c r="V58" s="1" t="s">
        <v>1360</v>
      </c>
      <c r="W58" s="1">
        <v>4.0</v>
      </c>
      <c r="X58" s="1">
        <v>30394.0</v>
      </c>
      <c r="Y58" s="1">
        <v>5543.0</v>
      </c>
      <c r="Z58" s="1">
        <v>12361.0</v>
      </c>
      <c r="AA58" s="1">
        <v>10420.0</v>
      </c>
      <c r="AB58" s="1" t="s">
        <v>1166</v>
      </c>
      <c r="AC58" s="1">
        <v>0.0</v>
      </c>
      <c r="AD58" s="1">
        <v>0.0</v>
      </c>
      <c r="AE58" s="1">
        <v>0.0</v>
      </c>
      <c r="AF58" s="1">
        <v>0.0</v>
      </c>
      <c r="AG58" s="6">
        <v>45780.04318287037</v>
      </c>
      <c r="AH58" s="1">
        <v>-2.0</v>
      </c>
      <c r="AI58" s="1">
        <v>-2.0</v>
      </c>
      <c r="AJ58" s="1">
        <v>-2.0</v>
      </c>
      <c r="AK58" s="1">
        <v>-2.0</v>
      </c>
      <c r="AL58" s="1">
        <v>-2.0</v>
      </c>
      <c r="AM58" s="1">
        <v>-2.0</v>
      </c>
      <c r="AN58" s="1">
        <v>-2.0</v>
      </c>
      <c r="AO58" s="1">
        <v>2860.0</v>
      </c>
      <c r="AP58" s="1">
        <v>-2.0</v>
      </c>
      <c r="AQ58" s="1">
        <v>-2.0</v>
      </c>
      <c r="AR58" s="1">
        <v>2650.0</v>
      </c>
      <c r="AS58" s="1">
        <v>-2.0</v>
      </c>
      <c r="AT58" s="1">
        <v>-2.0</v>
      </c>
      <c r="AU58" s="1">
        <v>-2.0</v>
      </c>
      <c r="AV58" s="1">
        <v>-2.0</v>
      </c>
      <c r="AW58" s="1">
        <v>-2.0</v>
      </c>
      <c r="AX58" s="1">
        <v>-2.0</v>
      </c>
      <c r="AY58" s="1">
        <v>3436.0</v>
      </c>
      <c r="AZ58" s="1">
        <v>3786.0</v>
      </c>
      <c r="BA58" s="1">
        <v>-2.0</v>
      </c>
      <c r="BB58" s="1">
        <v>-2.0</v>
      </c>
      <c r="BC58" s="1">
        <v>-2.0</v>
      </c>
      <c r="BD58" s="1">
        <v>-2.0</v>
      </c>
      <c r="BE58" s="1">
        <v>-2.0</v>
      </c>
      <c r="BF58" s="1">
        <v>-2.0</v>
      </c>
      <c r="BG58" s="1">
        <v>-2.0</v>
      </c>
      <c r="BH58" s="1">
        <v>-2.0</v>
      </c>
      <c r="BI58" s="1">
        <v>-2.0</v>
      </c>
    </row>
    <row r="59">
      <c r="A59" s="3" t="s">
        <v>1361</v>
      </c>
      <c r="B59" s="1">
        <v>32.0</v>
      </c>
      <c r="C59" s="1" t="s">
        <v>1362</v>
      </c>
      <c r="D59" s="1">
        <v>102.0</v>
      </c>
      <c r="E59" s="1">
        <v>95.0</v>
      </c>
      <c r="F59" s="1">
        <v>31.0</v>
      </c>
      <c r="G59" s="1">
        <v>30.0</v>
      </c>
      <c r="H59" s="1" t="s">
        <v>1221</v>
      </c>
      <c r="I59" s="1">
        <v>27.0</v>
      </c>
      <c r="J59" s="1">
        <v>7.0</v>
      </c>
      <c r="K59" s="1">
        <v>48.0</v>
      </c>
      <c r="L59" s="1">
        <v>24.0</v>
      </c>
      <c r="M59" s="1">
        <v>0.0</v>
      </c>
      <c r="N59" s="1">
        <v>-1.0</v>
      </c>
      <c r="O59" s="1" t="s">
        <v>1363</v>
      </c>
      <c r="P59" s="1">
        <v>110.0</v>
      </c>
      <c r="Q59" s="1">
        <v>58.0</v>
      </c>
      <c r="R59" s="1">
        <v>53.0</v>
      </c>
      <c r="S59" s="1">
        <v>0.0</v>
      </c>
      <c r="T59" s="1">
        <v>0.0</v>
      </c>
      <c r="U59" s="1" t="s">
        <v>1167</v>
      </c>
      <c r="V59" s="1" t="s">
        <v>1364</v>
      </c>
      <c r="W59" s="1">
        <v>0.0</v>
      </c>
      <c r="X59" s="1">
        <v>4866589.0</v>
      </c>
      <c r="Y59" s="1">
        <v>7.0</v>
      </c>
      <c r="Z59" s="1">
        <v>7.0</v>
      </c>
      <c r="AA59" s="1">
        <v>16.0</v>
      </c>
      <c r="AB59" s="1" t="s">
        <v>1166</v>
      </c>
      <c r="AC59" s="1">
        <v>0.0</v>
      </c>
      <c r="AD59" s="1">
        <v>0.0</v>
      </c>
      <c r="AE59" s="1">
        <v>0.0</v>
      </c>
      <c r="AF59" s="1">
        <v>0.0</v>
      </c>
      <c r="AG59" s="6">
        <v>45888.14622685185</v>
      </c>
      <c r="AH59" s="1">
        <v>33.0</v>
      </c>
      <c r="AI59" s="1">
        <v>40.0</v>
      </c>
      <c r="AJ59" s="1">
        <v>-2.0</v>
      </c>
      <c r="AK59" s="1">
        <v>-2.0</v>
      </c>
      <c r="AL59" s="1">
        <v>-2.0</v>
      </c>
      <c r="AM59" s="1">
        <v>-2.0</v>
      </c>
      <c r="AN59" s="1">
        <v>-2.0</v>
      </c>
      <c r="AO59" s="1">
        <v>154.0</v>
      </c>
      <c r="AP59" s="1">
        <v>72.0</v>
      </c>
      <c r="AQ59" s="1">
        <v>32.0</v>
      </c>
      <c r="AR59" s="1">
        <v>-2.0</v>
      </c>
      <c r="AS59" s="1">
        <v>-2.0</v>
      </c>
      <c r="AT59" s="1">
        <v>-2.0</v>
      </c>
      <c r="AU59" s="1">
        <v>-2.0</v>
      </c>
      <c r="AV59" s="1">
        <v>-2.0</v>
      </c>
      <c r="AW59" s="1">
        <v>-2.0</v>
      </c>
      <c r="AX59" s="1">
        <v>-2.0</v>
      </c>
      <c r="AY59" s="1">
        <v>-2.0</v>
      </c>
      <c r="AZ59" s="1">
        <v>-2.0</v>
      </c>
      <c r="BA59" s="1">
        <v>-2.0</v>
      </c>
      <c r="BB59" s="1">
        <v>-2.0</v>
      </c>
      <c r="BC59" s="1">
        <v>-2.0</v>
      </c>
      <c r="BD59" s="1">
        <v>-2.0</v>
      </c>
      <c r="BE59" s="1">
        <v>-2.0</v>
      </c>
      <c r="BF59" s="1">
        <v>-2.0</v>
      </c>
      <c r="BG59" s="1">
        <v>-2.0</v>
      </c>
      <c r="BH59" s="1">
        <v>-2.0</v>
      </c>
      <c r="BI59" s="1">
        <v>-2.0</v>
      </c>
    </row>
    <row r="60">
      <c r="A60" s="3" t="s">
        <v>1365</v>
      </c>
      <c r="B60" s="1">
        <v>29.0</v>
      </c>
      <c r="C60" s="1" t="s">
        <v>1366</v>
      </c>
      <c r="D60" s="1">
        <v>9.99725398E8</v>
      </c>
      <c r="E60" s="1">
        <v>969384.0</v>
      </c>
      <c r="F60" s="1">
        <v>79.0</v>
      </c>
      <c r="G60" s="1">
        <v>80.0</v>
      </c>
      <c r="H60" s="1" t="s">
        <v>1367</v>
      </c>
      <c r="I60" s="1">
        <v>95.0</v>
      </c>
      <c r="J60" s="1">
        <v>2.5264777E7</v>
      </c>
      <c r="K60" s="1">
        <v>4.8099619E7</v>
      </c>
      <c r="L60" s="1">
        <v>4.12907708E8</v>
      </c>
      <c r="M60" s="1">
        <v>1.0</v>
      </c>
      <c r="N60" s="1">
        <v>-1.0</v>
      </c>
      <c r="O60" s="1" t="s">
        <v>1368</v>
      </c>
      <c r="P60" s="1">
        <v>1.442076444E9</v>
      </c>
      <c r="Q60" s="1">
        <v>326388.0</v>
      </c>
      <c r="R60" s="1">
        <v>114354.0</v>
      </c>
      <c r="S60" s="1">
        <v>3526.0</v>
      </c>
      <c r="T60" s="1">
        <v>866.0</v>
      </c>
      <c r="V60" s="1" t="s">
        <v>1369</v>
      </c>
      <c r="W60" s="1">
        <v>39.0</v>
      </c>
      <c r="X60" s="1">
        <v>35.0</v>
      </c>
      <c r="Y60" s="1">
        <v>5058899.0</v>
      </c>
      <c r="Z60" s="1">
        <v>2273235.0</v>
      </c>
      <c r="AA60" s="1">
        <v>1105965.0</v>
      </c>
      <c r="AB60" s="1" t="s">
        <v>1370</v>
      </c>
      <c r="AC60" s="1">
        <v>627.0</v>
      </c>
      <c r="AD60" s="1">
        <v>815.0</v>
      </c>
      <c r="AE60" s="1">
        <v>1565.0</v>
      </c>
      <c r="AF60" s="1">
        <v>5919.0</v>
      </c>
      <c r="AG60" s="6">
        <v>45845.78511574074</v>
      </c>
      <c r="AH60" s="1">
        <v>-2.0</v>
      </c>
      <c r="AI60" s="1">
        <v>-2.0</v>
      </c>
      <c r="AJ60" s="1">
        <v>-2.0</v>
      </c>
      <c r="AK60" s="1">
        <v>-2.0</v>
      </c>
      <c r="AL60" s="1">
        <v>-2.0</v>
      </c>
      <c r="AM60" s="1">
        <v>-2.0</v>
      </c>
      <c r="AN60" s="1">
        <v>-2.0</v>
      </c>
      <c r="AO60" s="1">
        <v>-2.0</v>
      </c>
      <c r="AP60" s="1">
        <v>-2.0</v>
      </c>
      <c r="AQ60" s="1">
        <v>-2.0</v>
      </c>
      <c r="AR60" s="1">
        <v>-2.0</v>
      </c>
      <c r="AS60" s="1">
        <v>-2.0</v>
      </c>
      <c r="AT60" s="1">
        <v>-2.0</v>
      </c>
      <c r="AU60" s="1">
        <v>29.0</v>
      </c>
      <c r="AV60" s="1">
        <v>-2.0</v>
      </c>
      <c r="AW60" s="1">
        <v>-2.0</v>
      </c>
      <c r="AX60" s="1">
        <v>-2.0</v>
      </c>
      <c r="AY60" s="1">
        <v>-2.0</v>
      </c>
      <c r="AZ60" s="1">
        <v>-2.0</v>
      </c>
      <c r="BA60" s="1">
        <v>-2.0</v>
      </c>
      <c r="BB60" s="1">
        <v>-2.0</v>
      </c>
      <c r="BC60" s="1">
        <v>-2.0</v>
      </c>
      <c r="BD60" s="1">
        <v>-2.0</v>
      </c>
      <c r="BE60" s="1">
        <v>-2.0</v>
      </c>
      <c r="BF60" s="1">
        <v>-2.0</v>
      </c>
      <c r="BG60" s="1">
        <v>-2.0</v>
      </c>
      <c r="BH60" s="1">
        <v>-2.0</v>
      </c>
      <c r="BI60" s="1">
        <v>-2.0</v>
      </c>
    </row>
    <row r="61">
      <c r="A61" s="3" t="s">
        <v>1371</v>
      </c>
      <c r="B61" s="1">
        <v>22.0</v>
      </c>
      <c r="C61" s="1" t="s">
        <v>1197</v>
      </c>
      <c r="D61" s="1">
        <v>0.0</v>
      </c>
      <c r="E61" s="1">
        <v>133.0</v>
      </c>
      <c r="F61" s="1">
        <v>24.0</v>
      </c>
      <c r="G61" s="1">
        <v>33.0</v>
      </c>
      <c r="H61" s="1" t="s">
        <v>1236</v>
      </c>
      <c r="I61" s="1">
        <v>14.0</v>
      </c>
      <c r="J61" s="1">
        <v>0.0</v>
      </c>
      <c r="K61" s="1">
        <v>0.0</v>
      </c>
      <c r="L61" s="1">
        <v>0.0</v>
      </c>
      <c r="M61" s="1">
        <v>0.0</v>
      </c>
      <c r="N61" s="1">
        <v>-1.0</v>
      </c>
      <c r="O61" s="1" t="s">
        <v>1372</v>
      </c>
      <c r="P61" s="1">
        <v>295.0</v>
      </c>
      <c r="Q61" s="1">
        <v>104.0</v>
      </c>
      <c r="R61" s="1">
        <v>71.0</v>
      </c>
      <c r="S61" s="1">
        <v>0.0</v>
      </c>
      <c r="T61" s="1">
        <v>0.0</v>
      </c>
      <c r="U61" s="1" t="s">
        <v>1167</v>
      </c>
      <c r="V61" s="1" t="s">
        <v>1373</v>
      </c>
      <c r="W61" s="1">
        <v>0.0</v>
      </c>
      <c r="X61" s="1">
        <v>1.1960101E7</v>
      </c>
      <c r="Y61" s="1">
        <v>0.0</v>
      </c>
      <c r="Z61" s="1">
        <v>6.0</v>
      </c>
      <c r="AA61" s="1">
        <v>31.0</v>
      </c>
      <c r="AC61" s="1">
        <v>0.0</v>
      </c>
      <c r="AD61" s="1">
        <v>0.0</v>
      </c>
      <c r="AE61" s="1">
        <v>0.0</v>
      </c>
      <c r="AF61" s="1">
        <v>0.0</v>
      </c>
      <c r="AG61" s="6">
        <v>45636.12228009259</v>
      </c>
      <c r="AH61" s="1">
        <v>25.0</v>
      </c>
      <c r="AI61" s="1">
        <v>22.0</v>
      </c>
      <c r="AJ61" s="1">
        <v>-2.0</v>
      </c>
      <c r="AK61" s="1">
        <v>114.0</v>
      </c>
      <c r="AL61" s="1">
        <v>-2.0</v>
      </c>
      <c r="AM61" s="1">
        <v>-2.0</v>
      </c>
      <c r="AN61" s="1">
        <v>-2.0</v>
      </c>
      <c r="AO61" s="1">
        <v>139.0</v>
      </c>
      <c r="AP61" s="1">
        <v>-2.0</v>
      </c>
      <c r="AQ61" s="1">
        <v>68.0</v>
      </c>
      <c r="AR61" s="1">
        <v>-2.0</v>
      </c>
      <c r="AS61" s="1">
        <v>23.0</v>
      </c>
      <c r="AT61" s="1">
        <v>-2.0</v>
      </c>
      <c r="AU61" s="1">
        <v>-2.0</v>
      </c>
      <c r="AV61" s="1">
        <v>-2.0</v>
      </c>
      <c r="AW61" s="1">
        <v>-2.0</v>
      </c>
      <c r="AX61" s="1">
        <v>-2.0</v>
      </c>
      <c r="AY61" s="1">
        <v>199.0</v>
      </c>
      <c r="AZ61" s="1">
        <v>-2.0</v>
      </c>
      <c r="BA61" s="1">
        <v>-2.0</v>
      </c>
      <c r="BB61" s="1">
        <v>-2.0</v>
      </c>
      <c r="BC61" s="1">
        <v>-2.0</v>
      </c>
      <c r="BD61" s="1">
        <v>-2.0</v>
      </c>
      <c r="BE61" s="1">
        <v>-2.0</v>
      </c>
      <c r="BF61" s="1">
        <v>-2.0</v>
      </c>
      <c r="BG61" s="1">
        <v>-2.0</v>
      </c>
      <c r="BH61" s="1">
        <v>-2.0</v>
      </c>
      <c r="BI61" s="1">
        <v>-2.0</v>
      </c>
    </row>
    <row r="62">
      <c r="A62" s="1" t="s">
        <v>1374</v>
      </c>
      <c r="B62" s="1">
        <v>23.0</v>
      </c>
      <c r="C62" s="1" t="s">
        <v>1174</v>
      </c>
      <c r="D62" s="1">
        <v>62.0</v>
      </c>
      <c r="E62" s="1">
        <v>98.0</v>
      </c>
      <c r="F62" s="1">
        <v>11.0</v>
      </c>
      <c r="G62" s="1">
        <v>38.0</v>
      </c>
      <c r="H62" s="1" t="s">
        <v>1258</v>
      </c>
      <c r="I62" s="1">
        <v>35.0</v>
      </c>
      <c r="J62" s="1">
        <v>1.0</v>
      </c>
      <c r="K62" s="1">
        <v>12.0</v>
      </c>
      <c r="L62" s="1">
        <v>73.0</v>
      </c>
      <c r="M62" s="1">
        <v>0.0</v>
      </c>
      <c r="N62" s="1">
        <v>-1.0</v>
      </c>
      <c r="O62" s="1" t="s">
        <v>1375</v>
      </c>
      <c r="P62" s="1">
        <v>895.0</v>
      </c>
      <c r="Q62" s="1">
        <v>80.0</v>
      </c>
      <c r="R62" s="1">
        <v>78.0</v>
      </c>
      <c r="S62" s="1">
        <v>0.0</v>
      </c>
      <c r="T62" s="1">
        <v>0.0</v>
      </c>
      <c r="U62" s="1" t="s">
        <v>1166</v>
      </c>
      <c r="V62" s="1" t="s">
        <v>1376</v>
      </c>
      <c r="W62" s="1">
        <v>0.0</v>
      </c>
      <c r="X62" s="1">
        <v>2462424.0</v>
      </c>
      <c r="Y62" s="1">
        <v>28.0</v>
      </c>
      <c r="Z62" s="1">
        <v>109.0</v>
      </c>
      <c r="AA62" s="1">
        <v>28.0</v>
      </c>
      <c r="AB62" s="1" t="s">
        <v>1377</v>
      </c>
      <c r="AC62" s="1">
        <v>0.0</v>
      </c>
      <c r="AD62" s="1">
        <v>0.0</v>
      </c>
      <c r="AE62" s="1">
        <v>0.0</v>
      </c>
      <c r="AF62" s="1">
        <v>0.0</v>
      </c>
      <c r="AG62" s="6">
        <v>45904.09741898148</v>
      </c>
      <c r="AH62" s="1">
        <v>23.0</v>
      </c>
      <c r="AI62" s="1">
        <v>-2.0</v>
      </c>
      <c r="AJ62" s="1">
        <v>-2.0</v>
      </c>
      <c r="AK62" s="1">
        <v>59.0</v>
      </c>
      <c r="AL62" s="1">
        <v>-2.0</v>
      </c>
      <c r="AM62" s="1">
        <v>-2.0</v>
      </c>
      <c r="AN62" s="1">
        <v>-2.0</v>
      </c>
      <c r="AO62" s="1">
        <v>37.0</v>
      </c>
      <c r="AP62" s="1">
        <v>-2.0</v>
      </c>
      <c r="AQ62" s="1">
        <v>-2.0</v>
      </c>
      <c r="AR62" s="1">
        <v>-2.0</v>
      </c>
      <c r="AS62" s="1">
        <v>-2.0</v>
      </c>
      <c r="AT62" s="1">
        <v>41.0</v>
      </c>
      <c r="AU62" s="1">
        <v>-2.0</v>
      </c>
      <c r="AV62" s="1">
        <v>-2.0</v>
      </c>
      <c r="AW62" s="1">
        <v>-2.0</v>
      </c>
      <c r="AX62" s="1">
        <v>-2.0</v>
      </c>
      <c r="AY62" s="1">
        <v>109.0</v>
      </c>
      <c r="AZ62" s="1">
        <v>94.0</v>
      </c>
      <c r="BA62" s="1">
        <v>-2.0</v>
      </c>
      <c r="BB62" s="1">
        <v>-2.0</v>
      </c>
      <c r="BC62" s="1">
        <v>-2.0</v>
      </c>
      <c r="BD62" s="1">
        <v>-2.0</v>
      </c>
      <c r="BE62" s="1">
        <v>-2.0</v>
      </c>
      <c r="BF62" s="1">
        <v>-2.0</v>
      </c>
      <c r="BG62" s="1">
        <v>-2.0</v>
      </c>
      <c r="BH62" s="1">
        <v>-2.0</v>
      </c>
      <c r="BI62" s="1">
        <v>-2.0</v>
      </c>
    </row>
    <row r="63">
      <c r="A63" s="3" t="s">
        <v>1378</v>
      </c>
      <c r="B63" s="1">
        <v>36.0</v>
      </c>
      <c r="C63" s="1" t="s">
        <v>1174</v>
      </c>
      <c r="D63" s="1">
        <v>17.0</v>
      </c>
      <c r="E63" s="1">
        <v>318.0</v>
      </c>
      <c r="F63" s="1">
        <v>28.0</v>
      </c>
      <c r="G63" s="1">
        <v>35.0</v>
      </c>
      <c r="H63" s="1" t="s">
        <v>1175</v>
      </c>
      <c r="I63" s="1">
        <v>26.0</v>
      </c>
      <c r="J63" s="1">
        <v>4.0</v>
      </c>
      <c r="K63" s="1">
        <v>12.0</v>
      </c>
      <c r="L63" s="1">
        <v>1.0</v>
      </c>
      <c r="M63" s="1">
        <v>0.0</v>
      </c>
      <c r="N63" s="1">
        <v>-1.0</v>
      </c>
      <c r="O63" s="1" t="s">
        <v>1379</v>
      </c>
      <c r="P63" s="1">
        <v>1953.0</v>
      </c>
      <c r="Q63" s="1">
        <v>205.0</v>
      </c>
      <c r="R63" s="1">
        <v>175.0</v>
      </c>
      <c r="S63" s="1">
        <v>1.0</v>
      </c>
      <c r="T63" s="1">
        <v>0.0</v>
      </c>
      <c r="U63" s="1" t="s">
        <v>1166</v>
      </c>
      <c r="V63" s="1" t="s">
        <v>1380</v>
      </c>
      <c r="W63" s="1">
        <v>0.0</v>
      </c>
      <c r="X63" s="1">
        <v>5356672.0</v>
      </c>
      <c r="Y63" s="1">
        <v>3.0</v>
      </c>
      <c r="Z63" s="1">
        <v>12.0</v>
      </c>
      <c r="AA63" s="1">
        <v>129.0</v>
      </c>
      <c r="AB63" s="1" t="s">
        <v>1166</v>
      </c>
      <c r="AC63" s="1">
        <v>0.0</v>
      </c>
      <c r="AD63" s="1">
        <v>0.0</v>
      </c>
      <c r="AE63" s="1">
        <v>0.0</v>
      </c>
      <c r="AF63" s="1">
        <v>0.0</v>
      </c>
      <c r="AG63" s="6">
        <v>45611.98480324074</v>
      </c>
      <c r="AH63" s="1">
        <v>36.0</v>
      </c>
      <c r="AI63" s="1">
        <v>42.0</v>
      </c>
      <c r="AJ63" s="1">
        <v>143.0</v>
      </c>
      <c r="AK63" s="1">
        <v>100.0</v>
      </c>
      <c r="AL63" s="1">
        <v>-2.0</v>
      </c>
      <c r="AM63" s="1">
        <v>-2.0</v>
      </c>
      <c r="AN63" s="1">
        <v>-2.0</v>
      </c>
      <c r="AO63" s="1">
        <v>108.0</v>
      </c>
      <c r="AP63" s="1">
        <v>115.0</v>
      </c>
      <c r="AQ63" s="1">
        <v>81.0</v>
      </c>
      <c r="AR63" s="1">
        <v>-2.0</v>
      </c>
      <c r="AS63" s="1">
        <v>67.0</v>
      </c>
      <c r="AT63" s="1">
        <v>-2.0</v>
      </c>
      <c r="AU63" s="1">
        <v>-2.0</v>
      </c>
      <c r="AV63" s="1">
        <v>430.0</v>
      </c>
      <c r="AW63" s="1">
        <v>2020.0</v>
      </c>
      <c r="AX63" s="1">
        <v>400.0</v>
      </c>
      <c r="AY63" s="1">
        <v>2223.0</v>
      </c>
      <c r="AZ63" s="1">
        <v>-2.0</v>
      </c>
      <c r="BA63" s="1">
        <v>-2.0</v>
      </c>
      <c r="BB63" s="1">
        <v>195.0</v>
      </c>
      <c r="BC63" s="1">
        <v>200.0</v>
      </c>
      <c r="BD63" s="1">
        <v>-2.0</v>
      </c>
      <c r="BE63" s="1">
        <v>-2.0</v>
      </c>
      <c r="BF63" s="1">
        <v>119.0</v>
      </c>
      <c r="BG63" s="1">
        <v>-2.0</v>
      </c>
      <c r="BH63" s="1">
        <v>230.0</v>
      </c>
      <c r="BI63" s="1">
        <v>175.0</v>
      </c>
    </row>
    <row r="64">
      <c r="A64" s="3" t="s">
        <v>1381</v>
      </c>
      <c r="B64" s="1">
        <v>39.0</v>
      </c>
      <c r="C64" s="1" t="s">
        <v>1182</v>
      </c>
      <c r="D64" s="1">
        <v>13.0</v>
      </c>
      <c r="E64" s="1">
        <v>31.0</v>
      </c>
      <c r="F64" s="1">
        <v>5.0</v>
      </c>
      <c r="G64" s="1">
        <v>13.0</v>
      </c>
      <c r="H64" s="1" t="s">
        <v>1233</v>
      </c>
      <c r="I64" s="1">
        <v>2.0</v>
      </c>
      <c r="J64" s="1">
        <v>0.0</v>
      </c>
      <c r="K64" s="1">
        <v>3.0</v>
      </c>
      <c r="L64" s="1">
        <v>10.0</v>
      </c>
      <c r="M64" s="1">
        <v>0.0</v>
      </c>
      <c r="N64" s="1">
        <v>-1.0</v>
      </c>
      <c r="O64" s="1" t="s">
        <v>1382</v>
      </c>
      <c r="P64" s="1">
        <v>68.0</v>
      </c>
      <c r="Q64" s="1">
        <v>21.0</v>
      </c>
      <c r="R64" s="1">
        <v>21.0</v>
      </c>
      <c r="S64" s="1">
        <v>0.0</v>
      </c>
      <c r="T64" s="1">
        <v>0.0</v>
      </c>
      <c r="V64" s="1" t="s">
        <v>1383</v>
      </c>
      <c r="W64" s="1">
        <v>0.0</v>
      </c>
      <c r="X64" s="1">
        <v>4.0259257E7</v>
      </c>
      <c r="Y64" s="1">
        <v>1.0</v>
      </c>
      <c r="Z64" s="1">
        <v>0.0</v>
      </c>
      <c r="AA64" s="1">
        <v>0.0</v>
      </c>
      <c r="AB64" s="1" t="s">
        <v>1166</v>
      </c>
      <c r="AC64" s="1">
        <v>0.0</v>
      </c>
      <c r="AD64" s="1">
        <v>0.0</v>
      </c>
      <c r="AE64" s="1">
        <v>0.0</v>
      </c>
      <c r="AF64" s="1">
        <v>0.0</v>
      </c>
      <c r="AG64" s="6">
        <v>45612.007060185184</v>
      </c>
      <c r="AH64" s="1">
        <v>-2.0</v>
      </c>
      <c r="AI64" s="1">
        <v>-2.0</v>
      </c>
      <c r="AJ64" s="1">
        <v>39.0</v>
      </c>
      <c r="AK64" s="1">
        <v>143.0</v>
      </c>
      <c r="AL64" s="1">
        <v>46.0</v>
      </c>
      <c r="AM64" s="1">
        <v>-2.0</v>
      </c>
      <c r="AN64" s="1">
        <v>-2.0</v>
      </c>
      <c r="AO64" s="1">
        <v>108.0</v>
      </c>
      <c r="AP64" s="1">
        <v>-2.0</v>
      </c>
      <c r="AQ64" s="1">
        <v>44.0</v>
      </c>
      <c r="AR64" s="1">
        <v>-2.0</v>
      </c>
      <c r="AS64" s="1">
        <v>-2.0</v>
      </c>
      <c r="AT64" s="1">
        <v>-2.0</v>
      </c>
      <c r="AU64" s="1">
        <v>-2.0</v>
      </c>
      <c r="AV64" s="1">
        <v>-2.0</v>
      </c>
      <c r="AW64" s="1">
        <v>-2.0</v>
      </c>
      <c r="AX64" s="1">
        <v>-2.0</v>
      </c>
      <c r="AY64" s="1">
        <v>-2.0</v>
      </c>
      <c r="AZ64" s="1">
        <v>-2.0</v>
      </c>
      <c r="BA64" s="1">
        <v>-2.0</v>
      </c>
      <c r="BB64" s="1">
        <v>-2.0</v>
      </c>
      <c r="BC64" s="1">
        <v>-2.0</v>
      </c>
      <c r="BD64" s="1">
        <v>-2.0</v>
      </c>
      <c r="BE64" s="1">
        <v>-2.0</v>
      </c>
      <c r="BF64" s="1">
        <v>-2.0</v>
      </c>
      <c r="BG64" s="1">
        <v>-2.0</v>
      </c>
      <c r="BH64" s="1">
        <v>-2.0</v>
      </c>
      <c r="BI64" s="1">
        <v>-2.0</v>
      </c>
    </row>
    <row r="65">
      <c r="A65" s="3" t="s">
        <v>1384</v>
      </c>
      <c r="B65" s="1">
        <v>430.0</v>
      </c>
      <c r="C65" s="1" t="s">
        <v>1182</v>
      </c>
      <c r="D65" s="1">
        <v>103739.0</v>
      </c>
      <c r="E65" s="1">
        <v>6518.0</v>
      </c>
      <c r="F65" s="1">
        <v>31.0</v>
      </c>
      <c r="G65" s="1">
        <v>46.0</v>
      </c>
      <c r="H65" s="1" t="s">
        <v>1385</v>
      </c>
      <c r="I65" s="1">
        <v>79.0</v>
      </c>
      <c r="J65" s="1">
        <v>4089.0</v>
      </c>
      <c r="K65" s="1">
        <v>18270.0</v>
      </c>
      <c r="L65" s="1">
        <v>22428.0</v>
      </c>
      <c r="M65" s="1">
        <v>1.0</v>
      </c>
      <c r="N65" s="1">
        <v>-1.0</v>
      </c>
      <c r="O65" s="1" t="s">
        <v>1386</v>
      </c>
      <c r="P65" s="1">
        <v>259316.0</v>
      </c>
      <c r="Q65" s="1">
        <v>3773.0</v>
      </c>
      <c r="R65" s="1">
        <v>2285.0</v>
      </c>
      <c r="S65" s="1">
        <v>12.0</v>
      </c>
      <c r="T65" s="1">
        <v>4.0</v>
      </c>
      <c r="U65" s="1" t="s">
        <v>1166</v>
      </c>
      <c r="V65" s="1" t="s">
        <v>1326</v>
      </c>
      <c r="W65" s="1">
        <v>4.0</v>
      </c>
      <c r="X65" s="1">
        <v>16326.0</v>
      </c>
      <c r="Y65" s="1">
        <v>3814.0</v>
      </c>
      <c r="Z65" s="1">
        <v>4574.0</v>
      </c>
      <c r="AA65" s="1">
        <v>5193.0</v>
      </c>
      <c r="AB65" s="1" t="s">
        <v>1166</v>
      </c>
      <c r="AC65" s="1">
        <v>0.0</v>
      </c>
      <c r="AD65" s="1">
        <v>0.0</v>
      </c>
      <c r="AE65" s="1">
        <v>0.0</v>
      </c>
      <c r="AF65" s="1">
        <v>0.0</v>
      </c>
      <c r="AG65" s="6">
        <v>45611.987175925926</v>
      </c>
      <c r="AH65" s="1">
        <v>-2.0</v>
      </c>
      <c r="AI65" s="1">
        <v>-2.0</v>
      </c>
      <c r="AJ65" s="1">
        <v>430.0</v>
      </c>
      <c r="AK65" s="1">
        <v>1003.0</v>
      </c>
      <c r="AL65" s="1">
        <v>-2.0</v>
      </c>
      <c r="AM65" s="1">
        <v>-2.0</v>
      </c>
      <c r="AN65" s="1">
        <v>-2.0</v>
      </c>
      <c r="AO65" s="1">
        <v>515.0</v>
      </c>
      <c r="AP65" s="1">
        <v>567.0</v>
      </c>
      <c r="AQ65" s="1">
        <v>-2.0</v>
      </c>
      <c r="AR65" s="1">
        <v>460.0</v>
      </c>
      <c r="AS65" s="1">
        <v>454.0</v>
      </c>
      <c r="AT65" s="1">
        <v>-2.0</v>
      </c>
      <c r="AU65" s="1">
        <v>-2.0</v>
      </c>
      <c r="AV65" s="1">
        <v>-2.0</v>
      </c>
      <c r="AW65" s="1">
        <v>-2.0</v>
      </c>
      <c r="AX65" s="1">
        <v>-2.0</v>
      </c>
      <c r="AY65" s="1">
        <v>1108.0</v>
      </c>
      <c r="AZ65" s="1">
        <v>-2.0</v>
      </c>
      <c r="BA65" s="1">
        <v>1131.0</v>
      </c>
      <c r="BB65" s="1">
        <v>1555.0</v>
      </c>
      <c r="BC65" s="1">
        <v>-2.0</v>
      </c>
      <c r="BD65" s="1">
        <v>-2.0</v>
      </c>
      <c r="BE65" s="1">
        <v>-2.0</v>
      </c>
      <c r="BF65" s="1">
        <v>-2.0</v>
      </c>
      <c r="BG65" s="1">
        <v>-2.0</v>
      </c>
      <c r="BH65" s="1">
        <v>-2.0</v>
      </c>
      <c r="BI65" s="1">
        <v>-2.0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O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A63"/>
    <hyperlink r:id="rId63" ref="A64"/>
    <hyperlink r:id="rId64" ref="A65"/>
  </hyperlinks>
  <drawing r:id="rId65"/>
</worksheet>
</file>