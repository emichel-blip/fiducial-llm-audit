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LM Brand Tracker (1)" sheetId="1" r:id="rId5"/>
    <sheet state="visible" name="Sheet1" sheetId="2" r:id="rId6"/>
  </sheets>
  <definedNames>
    <definedName hidden="1" localSheetId="0" name="_xlnm._FilterDatabase">'LLM Brand Tracker (1)'!$A$1:$G$198</definedName>
  </definedNames>
  <calcPr/>
</workbook>
</file>

<file path=xl/sharedStrings.xml><?xml version="1.0" encoding="utf-8"?>
<sst xmlns="http://schemas.openxmlformats.org/spreadsheetml/2006/main" count="990" uniqueCount="369">
  <si>
    <t>URL</t>
  </si>
  <si>
    <t>Nom de domaine</t>
  </si>
  <si>
    <t>LLMs</t>
  </si>
  <si>
    <t>Count</t>
  </si>
  <si>
    <t>Prompts</t>
  </si>
  <si>
    <t>Véoprint Cited</t>
  </si>
  <si>
    <t>prix Linkfinder</t>
  </si>
  <si>
    <t>https://www.mon-tote-bag.fr/tote-bag-personnalise/</t>
  </si>
  <si>
    <t>chatgpt</t>
  </si>
  <si>
    <t>Meilleur site pour commander des tote bags personnalisés</t>
  </si>
  <si>
    <t>❌</t>
  </si>
  <si>
    <t>https://www.mon-tote-bag.fr/</t>
  </si>
  <si>
    <t>https://ecostart.fr/top-alternatives-a-vistaprint-trouvez-votre-imprimeur-en-ligne-ideal/</t>
  </si>
  <si>
    <t>Comparatif imprimeurs en ligne pas chers en France</t>
  </si>
  <si>
    <t>✅</t>
  </si>
  <si>
    <t>https://www.reddit.com/r/france/comments/1p9vij4/o%C3%B9_faire_imprimer_des_prints_et_stickers/</t>
  </si>
  <si>
    <t>https://www.reddit.com/r/france/comments/iqtmd6</t>
  </si>
  <si>
    <t>https://www.reddit.com/r/AskFrance/comments/1piyd0o/faire_imprimer_un_poster/</t>
  </si>
  <si>
    <t>https://www.reddit.com/r/u_Proof_Discipline_108/comments/1qi1hbs/questce_quun_objet_promotionnel_et_publicitaire/</t>
  </si>
  <si>
    <t>Comment commander des goodies personnalisés pour un événement ?</t>
  </si>
  <si>
    <t>https://entreprise-innov.fr/711/imprimeur-en-ligne-des-impressions-variees-a-prix-doux/</t>
  </si>
  <si>
    <t>Comparatif imprimeurs en ligne pas chers en FranceQuels sont les imprimeurs pour entreprises les mieux notés en France ?</t>
  </si>
  <si>
    <t>https://www.outils-accessoires.fr/vos-documents-administratifs/imprimeur-en-ligne-lideal-pour-votre-projet.html</t>
  </si>
  <si>
    <t>Comment choisir son imprimeur en ligne ?</t>
  </si>
  <si>
    <t>https://startups-nation.fr/top-9-des-meilleurs-imprimeurs-en-ligne/</t>
  </si>
  <si>
    <t>Quels sont les imprimeurs pour entreprises les mieux notés en France ?</t>
  </si>
  <si>
    <t>https://startups-nation.fr/veoprint-limprimeur-en-ligne-des-entreprises/</t>
  </si>
  <si>
    <t>Imprimeur en ligne pour PME et startups</t>
  </si>
  <si>
    <t>https://startups-nation.fr/imprimer-livre-classement-meilleurs-imprimeurs/</t>
  </si>
  <si>
    <t>https://www.europe-etiquettes.fr/print/imprimerie-ligne-professionnels-reussir-vos-etiquettes-personnalisees</t>
  </si>
  <si>
    <t>https://www.net67.fr/comparatif-saxoprint-analyse-detaillee-face-aux-geants-de-limpression-en-ligne/</t>
  </si>
  <si>
    <t>https://www.moovement.fr/prix-impression-cout-moyen-tarifs-et-comparatif-2025/</t>
  </si>
  <si>
    <t>https://babdp.org/top-services-dimprimerie-en-ligne-pour-professionnels-rapidite-et-excellence.php</t>
  </si>
  <si>
    <t>https://pardotconsulting.fr/comment-choisir-un-meilleur-imprimeur-en-ligne/</t>
  </si>
  <si>
    <t>https://aspekt.fr/creation-catalogue-produit-supports-print/</t>
  </si>
  <si>
    <t>Meilleur imprimeur pour des catalogues produits ?</t>
  </si>
  <si>
    <t>https://cartonrecup.com/copytop-avis/</t>
  </si>
  <si>
    <t>Quel est le meilleur imprimeur en ligne pour des flyers ?</t>
  </si>
  <si>
    <t>https://www.24presse.com/communique-de-presse/internet/realisaprint_propose_aux_professionnels_des_arts_graphiques_un_tableau_comparatif_des_principaux_imprimeurs_online_9917361/</t>
  </si>
  <si>
    <t>https://digitiz.fr/outil/onlineprinters/</t>
  </si>
  <si>
    <t>Comparatif imprimeurs en ligne pas chers en FranceQuel est le meilleur imprimeur en ligne pour des flyers ?</t>
  </si>
  <si>
    <t>https://digitiz.fr/blog/imprimeurs-en-ligne/</t>
  </si>
  <si>
    <t>https://digitiz.fr/outil/exaprint/</t>
  </si>
  <si>
    <t>https://www.pme-web.com/criteres-imprimerie-en-ligne/</t>
  </si>
  <si>
    <t>https://fr.bepub.com/annuaire-imprimerie/imprimeurs/printoclock-imprimerie-en-ligne</t>
  </si>
  <si>
    <t>https://www.europages.fr/entreprises/france/imprimeur.html</t>
  </si>
  <si>
    <t>https://www.latribune.fr/entreprises/2023-04-21/printoclock-prospere-dans-l-impression-et-s-ouvre-a-l-edition-958372.html</t>
  </si>
  <si>
    <t>https://www.lemonde.fr/emploi/article/2025/09/01/c-est-un-metier-les-imprimeurs-presses-de-repenser-leur-activite_6637979_1698637.html</t>
  </si>
  <si>
    <t>https://www.easyflyer.fr/</t>
  </si>
  <si>
    <t>Quel imprimeur en ligne propose des devis personnalisés rapidement ?Imprimeur en ligne pour PME et startups</t>
  </si>
  <si>
    <t>https://www.123imprim.com/</t>
  </si>
  <si>
    <t>https://www.papeo.fr/imprimeur-en-ligne</t>
  </si>
  <si>
    <t>https://blog.veoprint.com/veoprint-qui-sommes-nous/</t>
  </si>
  <si>
    <t>https://www.helloprint.fr/stylo-personnalise</t>
  </si>
  <si>
    <t>Où acheter des stylos personnalisés avec logo entreprise ?</t>
  </si>
  <si>
    <t>https://www.bagart.fr/</t>
  </si>
  <si>
    <t>Meilleur site pour commander des tote bags personnalisésComment commander des goodies personnalisés pour un événement ?</t>
  </si>
  <si>
    <t>https://imprimeurs.nosavis.com/</t>
  </si>
  <si>
    <t>https://blog.copees.com/copees-vs-vistaprint-exaprint-et-realisaprint-le-comparatif-sans-langue-de-bois/</t>
  </si>
  <si>
    <t>https://blog.copees.com/top-10-des-imprimeurs-les-plus-rapides-en-france/</t>
  </si>
  <si>
    <t>https://blog.copees.com/top-5-des-imprimeurs-eco-responsables-en-france/</t>
  </si>
  <si>
    <t>https://fr.wikipedia.org/wiki/Escourbiac</t>
  </si>
  <si>
    <t>https://fr.wikipedia.org/wiki/CPI_%28entreprise%29</t>
  </si>
  <si>
    <t>https://fr.wikipedia.org/wiki/Realisaprint.com</t>
  </si>
  <si>
    <t>https://www.dynamiz.fr/objets-publicitaires-personnalises/stylos-ecriture/stylos</t>
  </si>
  <si>
    <t>https://www.realisaprint.com/imprimerie-francaise.php</t>
  </si>
  <si>
    <t>https://www.realisaprint.com/</t>
  </si>
  <si>
    <t>https://www.eoz.eu/</t>
  </si>
  <si>
    <t>https://www.graphixia.fr/post/mon-avis-de-graphiste-sur-les-imprimeurs-local-ou-en-ligne-faut-il-vraiment-choisir</t>
  </si>
  <si>
    <t>Quel est le meilleur imprimeur en ligne pour des flyers ?Comment choisir son imprimeur en ligne ?</t>
  </si>
  <si>
    <t>https://www.veoprint.com/qui-sommes-nous</t>
  </si>
  <si>
    <t>https://www.impression-durable.fr/l-imprimeur-en-ligne-revolution-dans-l-industrie-de-l-impression/</t>
  </si>
  <si>
    <t>https://www.printoclock.com/</t>
  </si>
  <si>
    <t>https://www.fluoo.com/</t>
  </si>
  <si>
    <t>https://www.reflexprinting.fr/site-internet-metier/site-imprimerie-en-ligne</t>
  </si>
  <si>
    <t>https://www.imprimeur-en-ligne.fr/</t>
  </si>
  <si>
    <t>https://www.lesgrandesimprimeries.com/</t>
  </si>
  <si>
    <t>https://www.fashiontiy.com/fr/custom-pens.html</t>
  </si>
  <si>
    <t>https://www.objectile.fr/produits/objet-personnalisable/stylos-crayons/</t>
  </si>
  <si>
    <t>https://shop.katanga.fr/5396-stylos-personnalises</t>
  </si>
  <si>
    <t>https://stylo-france.fr/</t>
  </si>
  <si>
    <t>https://www.monimprimeurfrancais.com/impression/societe/avis</t>
  </si>
  <si>
    <t>https://blog.copees.com/top-5-des-meilleurs-imprimeurs-a-paris-en-2025/</t>
  </si>
  <si>
    <t>https://www.impression-expert.fr/post/les-10-plus-grands-imprimeurs-de-france</t>
  </si>
  <si>
    <t>https://fr.wikipedia.org/wiki/Korus_Imprimerie_-_Imprimerie_%C3%A0_R%C3%A9action</t>
  </si>
  <si>
    <t>https://fr.trustpilot.com/categories/print_shop</t>
  </si>
  <si>
    <t>https://www.objetrama.fr/ecriture/stylos-publicitaires-personnalises.html?p=16</t>
  </si>
  <si>
    <t>https://www.objetrama.fr/ecriture/stylos-publicitaires-personnalises.html</t>
  </si>
  <si>
    <t>https://www.e-goodies.fr/</t>
  </si>
  <si>
    <t>Comment commander des goodies personnalisés pour un événement ?Quelle plateforme recommandes-tu pour imprimer des goodies d'entreprise</t>
  </si>
  <si>
    <t>https://pubandgifts.fr/fr/</t>
  </si>
  <si>
    <t>https://avis-printoclock.com/</t>
  </si>
  <si>
    <t>https://www.poulpeo.com/avis/printoclock.htm</t>
  </si>
  <si>
    <t>https://toulouse.latribune.fr/entreprises/2023-04-21/printoclock-prospere-dans-l-impression-et-s-ouvre-a-l-edition-958372.html</t>
  </si>
  <si>
    <t>https://uk.trustpilot.com/review/www.exaprint.fr</t>
  </si>
  <si>
    <t>https://www.avismalin.com/c/services-aux-entreprises/imprimeur/</t>
  </si>
  <si>
    <t>https://www.hello-conso.info/c/services-aux-entreprises/imprimeur/</t>
  </si>
  <si>
    <t>https://www.plus-que-pro.fr/adherents/imprimerie/</t>
  </si>
  <si>
    <t>https://www.topexpo.fr/comment-bien-choisir-un-imprimeur-en-ligne/</t>
  </si>
  <si>
    <t>https://www.booklette.fr/autoedition-quels-criteres-pour-choisir-son-imprimeur.html</t>
  </si>
  <si>
    <t>https://agence-ilargia.fr/articles/template-article-dupliquer-1474/</t>
  </si>
  <si>
    <t>https://lemarche.inclusion.gouv.fr/nos-imprimeurs-solidaires-pour-vos-projets-professionnels/imprimeurs-en-ligne/</t>
  </si>
  <si>
    <t>https://www.crafters.fr/objets-personnalises-personnalise</t>
  </si>
  <si>
    <t>Quelle plateforme recommandes-tu pour imprimer des goodies d'entreprise</t>
  </si>
  <si>
    <t>https://douce-impression.com/entreprise/</t>
  </si>
  <si>
    <t>https://www.zaprinta.fr/</t>
  </si>
  <si>
    <t>https://www.printecom-madeinfrance.fr/</t>
  </si>
  <si>
    <t>https://www.goodies.studio/</t>
  </si>
  <si>
    <t>https://www.giftcampaign.fr/</t>
  </si>
  <si>
    <t>https://www.pixeprint.com/</t>
  </si>
  <si>
    <t>https://guide.ruedesgoodies.com/comparatif-de-plateformes-de-commande-de-goodies/</t>
  </si>
  <si>
    <t>https://www.graphiline.com/article/18691/Le-Classement-2016-des-imprimeurs-est-arrive</t>
  </si>
  <si>
    <t>https://www.plimsoll.fr/rapports-de-marche/imprimeurs</t>
  </si>
  <si>
    <t>https://blog.exaprint.fr/exaprint-en-tete-du-palmares-des-imprimeries-les-plus-rentables/</t>
  </si>
  <si>
    <t>https://www.annuairefrancais.fr/imprimeur/</t>
  </si>
  <si>
    <t>https://fr.printflux.com/</t>
  </si>
  <si>
    <t>https://www.realisaprint.com/blog/conseils/8-bonnes-raisons-de-choisir-un-imprimeur-en-ligne/</t>
  </si>
  <si>
    <t>https://www.pixartprinting.fr/</t>
  </si>
  <si>
    <t>https://cadoetik.com/goodies-ecriture</t>
  </si>
  <si>
    <t>https://goodiespublicitaires.fr/123-totes-bags-personnalises</t>
  </si>
  <si>
    <t>https://www.filifloc.fr/cp/objets-publicitaires-personnalisables/</t>
  </si>
  <si>
    <t>https://www.goodies-discount.fr/gammes/tote-bag-personnalise-321</t>
  </si>
  <si>
    <t>https://totebag.studio/tote-bag-personnalise-pour-entreprise-branding-ou-goodies/</t>
  </si>
  <si>
    <t>https://www.stampasi.fr/tote-bag-personnalise</t>
  </si>
  <si>
    <t>https://www.stampasi.fr/entreprise-goodies</t>
  </si>
  <si>
    <t>https://www.imprimerie-market.com/produit/imprimerie-pas-cher-en-ligne/</t>
  </si>
  <si>
    <t>https://www.imprimer-vert.fr/avis_imprimer_vert/</t>
  </si>
  <si>
    <t>https://www.imprimerieflyer.com/</t>
  </si>
  <si>
    <t>https://atelierbox.fr/collections/tote-bags-personnalisables-brodes-et-imprimes-en-france</t>
  </si>
  <si>
    <t>https://atelierbox.fr/collections/stylos-et-crayons-a-personnaliser-graves-et-imprimes-en-france</t>
  </si>
  <si>
    <t>https://www.stylo-personnalisable.fr/</t>
  </si>
  <si>
    <t>https://www.axonprofil.fr/stylos</t>
  </si>
  <si>
    <t>https://suissaimprimeur.fr/nos-produits/</t>
  </si>
  <si>
    <t>https://www.exaprint.fr/page/exacat</t>
  </si>
  <si>
    <t>https://enveloffset.com/catalogue-produits/</t>
  </si>
  <si>
    <t>https://www.impressionpro.fr/catalogue</t>
  </si>
  <si>
    <t>https://www.copytop.com/produits/catalogues-dossiers/catalogue</t>
  </si>
  <si>
    <t>https://www.aubinimprimeur.fr/catalogues/</t>
  </si>
  <si>
    <t>https://www.agir-graphic.fr/commerce-et-distribution/</t>
  </si>
  <si>
    <t>https://www.catalogue.services/imprimeur/</t>
  </si>
  <si>
    <t>https://www.imprimerie-geiger.fr/</t>
  </si>
  <si>
    <t>Quel imprimeur pour des brochures agrafées ou dos carré collé ?</t>
  </si>
  <si>
    <t>https://incagraphic.fr/</t>
  </si>
  <si>
    <t>https://www.imprimeriestrasbourg.com/</t>
  </si>
  <si>
    <t>https://www.elsassprint.com/</t>
  </si>
  <si>
    <t>https://www.absurdeimpression.com/</t>
  </si>
  <si>
    <t>https://www.trouve-ton-imprimeur.fr/imprimeurs/absurde-impression.html</t>
  </si>
  <si>
    <t>https://www.imprimerie-brochure.com/</t>
  </si>
  <si>
    <t>https://groupecar.com/</t>
  </si>
  <si>
    <t>https://strasprint.fr/</t>
  </si>
  <si>
    <t>https://www.absurde.eu/categorie/brochures/brochures-agrafees/</t>
  </si>
  <si>
    <t>https://www.absurde.eu/</t>
  </si>
  <si>
    <t>https://www.bestfree.nl/fr/easyflyer-fr-avis-et-prix/</t>
  </si>
  <si>
    <t>https://spreadly.app/fr/blog/imprime-carte-de-visite</t>
  </si>
  <si>
    <t>https://www.copymage.com/</t>
  </si>
  <si>
    <t>https://www.print.com/fr/impression-gadgets-et-goodies/</t>
  </si>
  <si>
    <t>https://www.print.com/fr/revendeurs/</t>
  </si>
  <si>
    <t>https://www.print.com/fr/</t>
  </si>
  <si>
    <t>https://www.veoprint.com/services-veoprint</t>
  </si>
  <si>
    <t>https://www.veoprint.com/imprimeur-en-ligne-reference-entreprise</t>
  </si>
  <si>
    <t>https://www.veoprint.com/cat-goodies.html</t>
  </si>
  <si>
    <t>https://www.veoprint.com/impression-flyers-rapide</t>
  </si>
  <si>
    <t>https://www.veoprint.com/impression-flyers-de-qualite</t>
  </si>
  <si>
    <t>https://www.veoprint.com/impression-flyers</t>
  </si>
  <si>
    <t>https://www.veoprint.com/impression-catalogue-produit</t>
  </si>
  <si>
    <t>https://www.veoprint.com/</t>
  </si>
  <si>
    <t>https://www.jimprime.net/</t>
  </si>
  <si>
    <t>https://www.limprimeriegenerale.com/</t>
  </si>
  <si>
    <t>https://www.consumer-guidance.com/fr/infos-guides-pratiques/services-impression-en-ligne-les-plus-populaires-en-france/</t>
  </si>
  <si>
    <t>https://www.printoclock.com/avis-clients</t>
  </si>
  <si>
    <t>https://www.printoclock.com/conseils-imprimeur-en-ligne</t>
  </si>
  <si>
    <t>https://www.printoclock.com/imprimerie</t>
  </si>
  <si>
    <t>https://www.printoclock.com/calendrier-personnalise</t>
  </si>
  <si>
    <t>https://www.printoclock.com/goodies</t>
  </si>
  <si>
    <t>https://www.printoclock.com/imprimerie/pub</t>
  </si>
  <si>
    <t>https://www.printoclock.com/brochures/auto-edition</t>
  </si>
  <si>
    <t>https://www.printoclock.com/imprimeur-professionnel</t>
  </si>
  <si>
    <t>https://www.nextprint.fr/</t>
  </si>
  <si>
    <t>Quel imprimeur en ligne propose des devis personnalisés rapidement ?</t>
  </si>
  <si>
    <t>https://www.reflexprinting.fr/site-imprimerie-en-ligne</t>
  </si>
  <si>
    <t>https://www.imprimeur-en-ligne.fr/plus-dimpression/entre-imprimeur-ligne-imprimeur-traditionnel-choisir/</t>
  </si>
  <si>
    <t>https://www.imprimeur-en-ligne.fr/catalogue/</t>
  </si>
  <si>
    <t>https://www.imprimeur-en-ligne.fr/limprimerie/</t>
  </si>
  <si>
    <t>https://www.helloprint.com/fr-fr/</t>
  </si>
  <si>
    <t>https://www.lesgrandesimprimeries.com/impression-flyers-avis</t>
  </si>
  <si>
    <t>https://www.lesgrandesimprimeries.com/brochure-agrafe</t>
  </si>
  <si>
    <t>https://www.lesgrandesimprimeries.com/comparatif-prix-flyers</t>
  </si>
  <si>
    <t>https://www.limprimeurpapier.com/</t>
  </si>
  <si>
    <t>https://www.printforyou.fr/</t>
  </si>
  <si>
    <t>https://koaprint.fr/objets/bureautique/stylos/</t>
  </si>
  <si>
    <t>https://www.objectile.fr/offre-personnalise/objets-publicitaires/goodies-personnalises/</t>
  </si>
  <si>
    <t>https://www.objetpubdesign.com/72-stylo</t>
  </si>
  <si>
    <t>https://wanapix.fr/tote-bag-personnalise</t>
  </si>
  <si>
    <t>https://www.gifta.fr/cadeaux-photo/tote-bag-personnalise/</t>
  </si>
  <si>
    <t>https://www.yoursurprise.fr/sacs-sacs-a-dos/sacs/tote-bag</t>
  </si>
  <si>
    <t>https://sac-personnalisable.net/nos-produits/tote-bag-personnalise/</t>
  </si>
  <si>
    <t>https://www.btobag.fr/sac-personnalise/tote-bag-personnalise/impression-tote-bag</t>
  </si>
  <si>
    <t>https://www.maxilia.fr/stylo-personnalise/</t>
  </si>
  <si>
    <t>https://www.maxilia.fr/sac-tissu-personnalise/tote-bag-personnalise/</t>
  </si>
  <si>
    <t>https://www.mesbeauxtotebags.fr/</t>
  </si>
  <si>
    <t>https://latelierdutotebag.com/</t>
  </si>
  <si>
    <t>https://www.mon-totebag.com/fr/</t>
  </si>
  <si>
    <t>https://france-imprimeries.info/</t>
  </si>
  <si>
    <t>https://www.glassdoor.fr/Avis/Imprimerie-Avis-E4160000.htm</t>
  </si>
  <si>
    <t>https://www.plateforme-imprimeur.fr/avis/</t>
  </si>
  <si>
    <t>https://www.impression-expert.fr/post/123imprim-vistaprint-pixartprinting-easyflyer-123panneaux-exaprint-etude-comparative</t>
  </si>
  <si>
    <t>https://fr.trustpilot.com/review/www.exaprint.fr</t>
  </si>
  <si>
    <t>https://fr.trustpilot.com/review/printoclock.com</t>
  </si>
  <si>
    <t>https://fr.trustpilot.com/review/rapid-flyer.com</t>
  </si>
  <si>
    <t>https://fr.trustpilot.com/review/easyflyer.fr</t>
  </si>
  <si>
    <t>https://ruedesgoodies.com/</t>
  </si>
  <si>
    <t>https://www.goodiespub.fr/sac-personnalise-publicitaire/tote-bags-personnalises.html</t>
  </si>
  <si>
    <t>https://www.goodiespub.fr/</t>
  </si>
  <si>
    <t>https://www.objetrama.fr/ecriture/stylos-publicitaires-personnalises.html?p=19</t>
  </si>
  <si>
    <t>https://www.objetrama.fr/ecriture/stylos-publicitaires-personnalises/stylos-publicitaires-pvc.html</t>
  </si>
  <si>
    <t>https://www.objetrama.fr/</t>
  </si>
  <si>
    <t>https://www.objets-personnalisables.com/</t>
  </si>
  <si>
    <t>https://allogoodies.com/</t>
  </si>
  <si>
    <t>https://www.e-goodies.fr/nos-goodies/sac-shopping/tote-bag-personnalise</t>
  </si>
  <si>
    <t>https://www.e-goodies.fr/nos-goodies/stylo-personnalisable</t>
  </si>
  <si>
    <t>https://smartobjet.fr/</t>
  </si>
  <si>
    <t>https://www.alvs.fr/</t>
  </si>
  <si>
    <t>https://www.dynamiz.fr/objets-publicitaires-personnalises</t>
  </si>
  <si>
    <t>https://www.dynamiz.fr/</t>
  </si>
  <si>
    <t>https://rapidegoodies.com/</t>
  </si>
  <si>
    <t>Domain</t>
  </si>
  <si>
    <t>Meilleur Prix</t>
  </si>
  <si>
    <t>Best_price</t>
  </si>
  <si>
    <t>Traffic</t>
  </si>
  <si>
    <t>RD</t>
  </si>
  <si>
    <t>TF</t>
  </si>
  <si>
    <t>CF</t>
  </si>
  <si>
    <t>TTF</t>
  </si>
  <si>
    <t>DR</t>
  </si>
  <si>
    <t>Top 3 Kws</t>
  </si>
  <si>
    <t>Top 4-10 Kws</t>
  </si>
  <si>
    <t>Traffic Value</t>
  </si>
  <si>
    <t>Gnews</t>
  </si>
  <si>
    <t>LF Value</t>
  </si>
  <si>
    <t>Title</t>
  </si>
  <si>
    <t>Backlinks</t>
  </si>
  <si>
    <t>Ref Ips</t>
  </si>
  <si>
    <t>Ref Subnets</t>
  </si>
  <si>
    <t>Ref Edu</t>
  </si>
  <si>
    <t>Ref Gov</t>
  </si>
  <si>
    <t>Languages</t>
  </si>
  <si>
    <t>Ref Languages</t>
  </si>
  <si>
    <t>UR</t>
  </si>
  <si>
    <t>AR</t>
  </si>
  <si>
    <t>Top 11-20 Kws</t>
  </si>
  <si>
    <t>Top 21-50 Kws</t>
  </si>
  <si>
    <t>Top 51+ Kws</t>
  </si>
  <si>
    <t>Top Location</t>
  </si>
  <si>
    <t>Paid Kws</t>
  </si>
  <si>
    <t>Ads Count</t>
  </si>
  <si>
    <t>Paid Traffic</t>
  </si>
  <si>
    <t>Paid Traffic Cost</t>
  </si>
  <si>
    <t>Date D'ajout</t>
  </si>
  <si>
    <t>Ereferer</t>
  </si>
  <si>
    <t>Linkavista</t>
  </si>
  <si>
    <t>Whitepress</t>
  </si>
  <si>
    <t>Develink</t>
  </si>
  <si>
    <t>Poprise</t>
  </si>
  <si>
    <t>Linksclub</t>
  </si>
  <si>
    <t>Collaborator</t>
  </si>
  <si>
    <t>Paperclub</t>
  </si>
  <si>
    <t>Soumettre</t>
  </si>
  <si>
    <t>Mistergoodlink</t>
  </si>
  <si>
    <t>123media</t>
  </si>
  <si>
    <t>1ereplace</t>
  </si>
  <si>
    <t>Linkpublishers</t>
  </si>
  <si>
    <t>Growwer</t>
  </si>
  <si>
    <t>Unancor</t>
  </si>
  <si>
    <t>Linkbroker</t>
  </si>
  <si>
    <t>Prensalink</t>
  </si>
  <si>
    <t>Prnews</t>
  </si>
  <si>
    <t>Backlinked</t>
  </si>
  <si>
    <t>Bazoom</t>
  </si>
  <si>
    <t>Purolink</t>
  </si>
  <si>
    <t>Motherlink</t>
  </si>
  <si>
    <t>Guestpostlinks</t>
  </si>
  <si>
    <t>Prposting</t>
  </si>
  <si>
    <t>Publisuites</t>
  </si>
  <si>
    <t>Meup</t>
  </si>
  <si>
    <t>Getalink</t>
  </si>
  <si>
    <t>24presse.com</t>
  </si>
  <si>
    <t>whitepress</t>
  </si>
  <si>
    <t>Shopping/Food</t>
  </si>
  <si>
    <t>24presse – You've got news, we've got medias</t>
  </si>
  <si>
    <t>fr,en,de,es,nl,it</t>
  </si>
  <si>
    <t>fr,en,vi,zh,de,ru,es</t>
  </si>
  <si>
    <t>fr</t>
  </si>
  <si>
    <t>aspekt.fr</t>
  </si>
  <si>
    <t>linkavista</t>
  </si>
  <si>
    <t>Reference/Museums</t>
  </si>
  <si>
    <t>Anne Sophie Thomas - Experte Stratégie Digitale | Aspekt</t>
  </si>
  <si>
    <t>fr,en</t>
  </si>
  <si>
    <t>babdp.org</t>
  </si>
  <si>
    <t>paperclub</t>
  </si>
  <si>
    <t>Society/Issues</t>
  </si>
  <si>
    <t>Babdp - L'information au quotidien, pour tous</t>
  </si>
  <si>
    <t>fr,en,de,pt</t>
  </si>
  <si>
    <t>cartonrecup.com</t>
  </si>
  <si>
    <t>Regional/Europe</t>
  </si>
  <si>
    <t>Tout savoir sur le Meuble en Carton | Conseils Pratiques en images</t>
  </si>
  <si>
    <t>fr,en,la</t>
  </si>
  <si>
    <t>digitiz.fr</t>
  </si>
  <si>
    <t>ereferer</t>
  </si>
  <si>
    <t>Shopping/Consumer Electronics</t>
  </si>
  <si>
    <t>Digitiz - Trouvez les bonnes solutions pour réussir sur le web</t>
  </si>
  <si>
    <t>ecostart.fr</t>
  </si>
  <si>
    <t>Society/Politics</t>
  </si>
  <si>
    <t>Ecostart - Lancez-vous !</t>
  </si>
  <si>
    <t>entreprise-innov.fr</t>
  </si>
  <si>
    <t>Business</t>
  </si>
  <si>
    <t>Entreprise Innov - L'information business qui fait avancer les entrepreneurs</t>
  </si>
  <si>
    <t>fr,en,de,lv,no,tr</t>
  </si>
  <si>
    <t>europages.fr</t>
  </si>
  <si>
    <t>Business/Directories</t>
  </si>
  <si>
    <t>europages France – Marché Fournisseurs &amp; Grossistes B2B</t>
  </si>
  <si>
    <t>fr,en,de,nl,it,es,da</t>
  </si>
  <si>
    <t>europe-etiquettes.fr</t>
  </si>
  <si>
    <t>Home</t>
  </si>
  <si>
    <t>www.europe-etiquettes.fr</t>
  </si>
  <si>
    <t>fr,en,nl,de,it,pt,es,ja,ru,sv</t>
  </si>
  <si>
    <t>fr.bepub.com</t>
  </si>
  <si>
    <t>develink</t>
  </si>
  <si>
    <t>fr,en,nl</t>
  </si>
  <si>
    <t>be</t>
  </si>
  <si>
    <t>latribune.fr</t>
  </si>
  <si>
    <t>poprise</t>
  </si>
  <si>
    <t>News/Newspapers</t>
  </si>
  <si>
    <t>La Tribune - Actualité Économique et Financière</t>
  </si>
  <si>
    <t>fr,en,de,es,ru,it,ar,pt</t>
  </si>
  <si>
    <t>lemonde.fr</t>
  </si>
  <si>
    <t>Le Monde.fr - Actualités et Infos en France et dans le monde</t>
  </si>
  <si>
    <t>fr,en,es,it,de</t>
  </si>
  <si>
    <t>fr,en,it,de,es,zh,pt,el,ru,sq</t>
  </si>
  <si>
    <t>mon-tote-bag.fr</t>
  </si>
  <si>
    <t>Games/Video Games/Roleplaying</t>
  </si>
  <si>
    <t>Mon-Tote-Bag.fr | Tote bag 100% Coton et Personnalisé</t>
  </si>
  <si>
    <t>fr,en,ar,zh,nl,de,hi,id,it,ja</t>
  </si>
  <si>
    <t>moovement.fr</t>
  </si>
  <si>
    <t>Science/Technology</t>
  </si>
  <si>
    <t>Moovement - Mettez votre business en moovement</t>
  </si>
  <si>
    <t>net67.fr</t>
  </si>
  <si>
    <t>linksclub</t>
  </si>
  <si>
    <t>Business/Transportation and Logistics</t>
  </si>
  <si>
    <t>Net67-Astuces solutions et tendances numériques pour entreprises</t>
  </si>
  <si>
    <t>fr,en,ar,da,es</t>
  </si>
  <si>
    <t>outils-accessoires.fr</t>
  </si>
  <si>
    <t>Outils Accessoires</t>
  </si>
  <si>
    <t>en,fr,ar,es</t>
  </si>
  <si>
    <t>pardotconsulting.fr</t>
  </si>
  <si>
    <t>collaborator</t>
  </si>
  <si>
    <t>Pardot Consulting</t>
  </si>
  <si>
    <t>pme-web.com</t>
  </si>
  <si>
    <t>Computers/Hardware</t>
  </si>
  <si>
    <t>PME WEB | Les meilleurs outils du web</t>
  </si>
  <si>
    <t>reddit.com</t>
  </si>
  <si>
    <t>linkpublishers</t>
  </si>
  <si>
    <t>News</t>
  </si>
  <si>
    <t>Reddit - The heart of the internet</t>
  </si>
  <si>
    <t>en,vi,de,fr,es,id,pt,ru,tr,ar</t>
  </si>
  <si>
    <t>us</t>
  </si>
  <si>
    <t>startups-nation.fr</t>
  </si>
  <si>
    <t>Recreation/Travel</t>
  </si>
  <si>
    <t>Startups Nation - L'actualité des entrepreneurs et des startups</t>
  </si>
  <si>
    <t>fr,en,pt,cs,de,it,ar,zh,es,tr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</si>
</sst>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1F1F1F"/>
      <name val="&quot;Google Sans Mono&quot;"/>
    </font>
    <font>
      <u/>
      <color rgb="FF0000FF"/>
    </font>
    <font>
      <color rgb="FF1F1F1F"/>
      <name val="&quot;Google Sans Mono&quot;"/>
    </font>
  </fonts>
  <fills count="3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Fill="1" applyFont="1"/>
    <xf borderId="0" fillId="0" fontId="1" numFmtId="0" xfId="0" applyFont="1"/>
    <xf borderId="0" fillId="0" fontId="4" numFmtId="0" xfId="0" applyAlignment="1" applyFont="1">
      <alignment readingOrder="0"/>
    </xf>
    <xf borderId="0" fillId="2" fontId="5" numFmtId="0" xfId="0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r.wikipedia.org/wiki/CPI_%28entreprise%29" TargetMode="External"/><Relationship Id="rId190" Type="http://schemas.openxmlformats.org/officeDocument/2006/relationships/hyperlink" Target="https://allogoodies.com/" TargetMode="External"/><Relationship Id="rId42" Type="http://schemas.openxmlformats.org/officeDocument/2006/relationships/hyperlink" Target="https://www.dynamiz.fr/objets-publicitaires-personnalises/stylos-ecriture/stylos" TargetMode="External"/><Relationship Id="rId41" Type="http://schemas.openxmlformats.org/officeDocument/2006/relationships/hyperlink" Target="https://fr.wikipedia.org/wiki/Realisaprint.com" TargetMode="External"/><Relationship Id="rId44" Type="http://schemas.openxmlformats.org/officeDocument/2006/relationships/hyperlink" Target="https://www.realisaprint.com/" TargetMode="External"/><Relationship Id="rId194" Type="http://schemas.openxmlformats.org/officeDocument/2006/relationships/hyperlink" Target="https://www.alvs.fr/" TargetMode="External"/><Relationship Id="rId43" Type="http://schemas.openxmlformats.org/officeDocument/2006/relationships/hyperlink" Target="https://www.realisaprint.com/imprimerie-francaise.php" TargetMode="External"/><Relationship Id="rId193" Type="http://schemas.openxmlformats.org/officeDocument/2006/relationships/hyperlink" Target="https://smartobjet.fr/" TargetMode="External"/><Relationship Id="rId46" Type="http://schemas.openxmlformats.org/officeDocument/2006/relationships/hyperlink" Target="https://www.graphixia.fr/post/mon-avis-de-graphiste-sur-les-imprimeurs-local-ou-en-ligne-faut-il-vraiment-choisir" TargetMode="External"/><Relationship Id="rId192" Type="http://schemas.openxmlformats.org/officeDocument/2006/relationships/hyperlink" Target="https://www.e-goodies.fr/nos-goodies/stylo-personnalisable" TargetMode="External"/><Relationship Id="rId45" Type="http://schemas.openxmlformats.org/officeDocument/2006/relationships/hyperlink" Target="https://www.eoz.eu/" TargetMode="External"/><Relationship Id="rId191" Type="http://schemas.openxmlformats.org/officeDocument/2006/relationships/hyperlink" Target="https://www.e-goodies.fr/nos-goodies/sac-shopping/tote-bag-personnalise" TargetMode="External"/><Relationship Id="rId48" Type="http://schemas.openxmlformats.org/officeDocument/2006/relationships/hyperlink" Target="https://www.impression-durable.fr/l-imprimeur-en-ligne-revolution-dans-l-industrie-de-l-impression/" TargetMode="External"/><Relationship Id="rId187" Type="http://schemas.openxmlformats.org/officeDocument/2006/relationships/hyperlink" Target="https://www.objetrama.fr/ecriture/stylos-publicitaires-personnalises/stylos-publicitaires-pvc.html" TargetMode="External"/><Relationship Id="rId47" Type="http://schemas.openxmlformats.org/officeDocument/2006/relationships/hyperlink" Target="https://www.veoprint.com/qui-sommes-nous" TargetMode="External"/><Relationship Id="rId186" Type="http://schemas.openxmlformats.org/officeDocument/2006/relationships/hyperlink" Target="https://www.objetrama.fr/ecriture/stylos-publicitaires-personnalises.html?p=19" TargetMode="External"/><Relationship Id="rId185" Type="http://schemas.openxmlformats.org/officeDocument/2006/relationships/hyperlink" Target="https://www.goodiespub.fr/" TargetMode="External"/><Relationship Id="rId49" Type="http://schemas.openxmlformats.org/officeDocument/2006/relationships/hyperlink" Target="https://www.printoclock.com/" TargetMode="External"/><Relationship Id="rId184" Type="http://schemas.openxmlformats.org/officeDocument/2006/relationships/hyperlink" Target="https://www.goodiespub.fr/sac-personnalise-publicitaire/tote-bags-personnalises.html" TargetMode="External"/><Relationship Id="rId189" Type="http://schemas.openxmlformats.org/officeDocument/2006/relationships/hyperlink" Target="https://www.objets-personnalisables.com/" TargetMode="External"/><Relationship Id="rId188" Type="http://schemas.openxmlformats.org/officeDocument/2006/relationships/hyperlink" Target="https://www.objetrama.fr/" TargetMode="External"/><Relationship Id="rId31" Type="http://schemas.openxmlformats.org/officeDocument/2006/relationships/hyperlink" Target="https://www.papeo.fr/imprimeur-en-ligne" TargetMode="External"/><Relationship Id="rId30" Type="http://schemas.openxmlformats.org/officeDocument/2006/relationships/hyperlink" Target="https://www.123imprim.com/" TargetMode="External"/><Relationship Id="rId33" Type="http://schemas.openxmlformats.org/officeDocument/2006/relationships/hyperlink" Target="https://www.helloprint.fr/stylo-personnalise" TargetMode="External"/><Relationship Id="rId183" Type="http://schemas.openxmlformats.org/officeDocument/2006/relationships/hyperlink" Target="https://ruedesgoodies.com/" TargetMode="External"/><Relationship Id="rId32" Type="http://schemas.openxmlformats.org/officeDocument/2006/relationships/hyperlink" Target="https://blog.veoprint.com/veoprint-qui-sommes-nous/" TargetMode="External"/><Relationship Id="rId182" Type="http://schemas.openxmlformats.org/officeDocument/2006/relationships/hyperlink" Target="https://fr.trustpilot.com/review/easyflyer.fr" TargetMode="External"/><Relationship Id="rId35" Type="http://schemas.openxmlformats.org/officeDocument/2006/relationships/hyperlink" Target="https://imprimeurs.nosavis.com/" TargetMode="External"/><Relationship Id="rId181" Type="http://schemas.openxmlformats.org/officeDocument/2006/relationships/hyperlink" Target="https://fr.trustpilot.com/review/rapid-flyer.com" TargetMode="External"/><Relationship Id="rId34" Type="http://schemas.openxmlformats.org/officeDocument/2006/relationships/hyperlink" Target="https://www.bagart.fr/" TargetMode="External"/><Relationship Id="rId180" Type="http://schemas.openxmlformats.org/officeDocument/2006/relationships/hyperlink" Target="https://fr.trustpilot.com/review/printoclock.com" TargetMode="External"/><Relationship Id="rId37" Type="http://schemas.openxmlformats.org/officeDocument/2006/relationships/hyperlink" Target="https://blog.copees.com/top-10-des-imprimeurs-les-plus-rapides-en-france/" TargetMode="External"/><Relationship Id="rId176" Type="http://schemas.openxmlformats.org/officeDocument/2006/relationships/hyperlink" Target="https://www.glassdoor.fr/Avis/Imprimerie-Avis-E4160000.htm" TargetMode="External"/><Relationship Id="rId36" Type="http://schemas.openxmlformats.org/officeDocument/2006/relationships/hyperlink" Target="https://blog.copees.com/copees-vs-vistaprint-exaprint-et-realisaprint-le-comparatif-sans-langue-de-bois/" TargetMode="External"/><Relationship Id="rId175" Type="http://schemas.openxmlformats.org/officeDocument/2006/relationships/hyperlink" Target="https://france-imprimeries.info/" TargetMode="External"/><Relationship Id="rId39" Type="http://schemas.openxmlformats.org/officeDocument/2006/relationships/hyperlink" Target="https://fr.wikipedia.org/wiki/Escourbiac" TargetMode="External"/><Relationship Id="rId174" Type="http://schemas.openxmlformats.org/officeDocument/2006/relationships/hyperlink" Target="https://www.mon-totebag.com/fr/" TargetMode="External"/><Relationship Id="rId38" Type="http://schemas.openxmlformats.org/officeDocument/2006/relationships/hyperlink" Target="https://blog.copees.com/top-5-des-imprimeurs-eco-responsables-en-france/" TargetMode="External"/><Relationship Id="rId173" Type="http://schemas.openxmlformats.org/officeDocument/2006/relationships/hyperlink" Target="https://latelierdutotebag.com/" TargetMode="External"/><Relationship Id="rId179" Type="http://schemas.openxmlformats.org/officeDocument/2006/relationships/hyperlink" Target="https://fr.trustpilot.com/review/www.exaprint.fr" TargetMode="External"/><Relationship Id="rId178" Type="http://schemas.openxmlformats.org/officeDocument/2006/relationships/hyperlink" Target="https://www.impression-expert.fr/post/123imprim-vistaprint-pixartprinting-easyflyer-123panneaux-exaprint-etude-comparative" TargetMode="External"/><Relationship Id="rId177" Type="http://schemas.openxmlformats.org/officeDocument/2006/relationships/hyperlink" Target="https://www.plateforme-imprimeur.fr/avis/" TargetMode="External"/><Relationship Id="rId20" Type="http://schemas.openxmlformats.org/officeDocument/2006/relationships/hyperlink" Target="https://www.24presse.com/communique-de-presse/internet/realisaprint_propose_aux_professionnels_des_arts_graphiques_un_tableau_comparatif_des_principaux_imprimeurs_online_9917361/" TargetMode="External"/><Relationship Id="rId22" Type="http://schemas.openxmlformats.org/officeDocument/2006/relationships/hyperlink" Target="https://digitiz.fr/blog/imprimeurs-en-ligne/" TargetMode="External"/><Relationship Id="rId21" Type="http://schemas.openxmlformats.org/officeDocument/2006/relationships/hyperlink" Target="https://digitiz.fr/outil/onlineprinters/" TargetMode="External"/><Relationship Id="rId24" Type="http://schemas.openxmlformats.org/officeDocument/2006/relationships/hyperlink" Target="https://www.pme-web.com/criteres-imprimerie-en-ligne/" TargetMode="External"/><Relationship Id="rId23" Type="http://schemas.openxmlformats.org/officeDocument/2006/relationships/hyperlink" Target="https://digitiz.fr/outil/exaprint/" TargetMode="External"/><Relationship Id="rId26" Type="http://schemas.openxmlformats.org/officeDocument/2006/relationships/hyperlink" Target="https://www.europages.fr/entreprises/france/imprimeur.html" TargetMode="External"/><Relationship Id="rId25" Type="http://schemas.openxmlformats.org/officeDocument/2006/relationships/hyperlink" Target="https://fr.bepub.com/annuaire-imprimerie/imprimeurs/printoclock-imprimerie-en-ligne" TargetMode="External"/><Relationship Id="rId28" Type="http://schemas.openxmlformats.org/officeDocument/2006/relationships/hyperlink" Target="https://www.lemonde.fr/emploi/article/2025/09/01/c-est-un-metier-les-imprimeurs-presses-de-repenser-leur-activite_6637979_1698637.html" TargetMode="External"/><Relationship Id="rId27" Type="http://schemas.openxmlformats.org/officeDocument/2006/relationships/hyperlink" Target="https://www.latribune.fr/entreprises/2023-04-21/printoclock-prospere-dans-l-impression-et-s-ouvre-a-l-edition-958372.html" TargetMode="External"/><Relationship Id="rId29" Type="http://schemas.openxmlformats.org/officeDocument/2006/relationships/hyperlink" Target="https://www.easyflyer.fr/" TargetMode="External"/><Relationship Id="rId11" Type="http://schemas.openxmlformats.org/officeDocument/2006/relationships/hyperlink" Target="https://startups-nation.fr/veoprint-limprimeur-en-ligne-des-entreprises/" TargetMode="External"/><Relationship Id="rId10" Type="http://schemas.openxmlformats.org/officeDocument/2006/relationships/hyperlink" Target="https://startups-nation.fr/top-9-des-meilleurs-imprimeurs-en-ligne/" TargetMode="External"/><Relationship Id="rId13" Type="http://schemas.openxmlformats.org/officeDocument/2006/relationships/hyperlink" Target="https://www.europe-etiquettes.fr/print/imprimerie-ligne-professionnels-reussir-vos-etiquettes-personnalisees" TargetMode="External"/><Relationship Id="rId12" Type="http://schemas.openxmlformats.org/officeDocument/2006/relationships/hyperlink" Target="https://startups-nation.fr/imprimer-livre-classement-meilleurs-imprimeurs/" TargetMode="External"/><Relationship Id="rId15" Type="http://schemas.openxmlformats.org/officeDocument/2006/relationships/hyperlink" Target="https://www.moovement.fr/prix-impression-cout-moyen-tarifs-et-comparatif-2025/" TargetMode="External"/><Relationship Id="rId198" Type="http://schemas.openxmlformats.org/officeDocument/2006/relationships/drawing" Target="../drawings/drawing1.xml"/><Relationship Id="rId14" Type="http://schemas.openxmlformats.org/officeDocument/2006/relationships/hyperlink" Target="https://www.net67.fr/comparatif-saxoprint-analyse-detaillee-face-aux-geants-de-limpression-en-ligne/" TargetMode="External"/><Relationship Id="rId197" Type="http://schemas.openxmlformats.org/officeDocument/2006/relationships/hyperlink" Target="https://rapidegoodies.com/" TargetMode="External"/><Relationship Id="rId17" Type="http://schemas.openxmlformats.org/officeDocument/2006/relationships/hyperlink" Target="https://pardotconsulting.fr/comment-choisir-un-meilleur-imprimeur-en-ligne/" TargetMode="External"/><Relationship Id="rId196" Type="http://schemas.openxmlformats.org/officeDocument/2006/relationships/hyperlink" Target="https://www.dynamiz.fr/" TargetMode="External"/><Relationship Id="rId16" Type="http://schemas.openxmlformats.org/officeDocument/2006/relationships/hyperlink" Target="https://babdp.org/top-services-dimprimerie-en-ligne-pour-professionnels-rapidite-et-excellence.php" TargetMode="External"/><Relationship Id="rId195" Type="http://schemas.openxmlformats.org/officeDocument/2006/relationships/hyperlink" Target="https://www.dynamiz.fr/objets-publicitaires-personnalises" TargetMode="External"/><Relationship Id="rId19" Type="http://schemas.openxmlformats.org/officeDocument/2006/relationships/hyperlink" Target="https://cartonrecup.com/copytop-avis/" TargetMode="External"/><Relationship Id="rId18" Type="http://schemas.openxmlformats.org/officeDocument/2006/relationships/hyperlink" Target="https://aspekt.fr/creation-catalogue-produit-supports-print/" TargetMode="External"/><Relationship Id="rId84" Type="http://schemas.openxmlformats.org/officeDocument/2006/relationships/hyperlink" Target="https://www.pixeprint.com/" TargetMode="External"/><Relationship Id="rId83" Type="http://schemas.openxmlformats.org/officeDocument/2006/relationships/hyperlink" Target="https://www.giftcampaign.fr/" TargetMode="External"/><Relationship Id="rId86" Type="http://schemas.openxmlformats.org/officeDocument/2006/relationships/hyperlink" Target="https://www.graphiline.com/article/18691/Le-Classement-2016-des-imprimeurs-est-arrive" TargetMode="External"/><Relationship Id="rId85" Type="http://schemas.openxmlformats.org/officeDocument/2006/relationships/hyperlink" Target="https://guide.ruedesgoodies.com/comparatif-de-plateformes-de-commande-de-goodies/" TargetMode="External"/><Relationship Id="rId88" Type="http://schemas.openxmlformats.org/officeDocument/2006/relationships/hyperlink" Target="https://blog.exaprint.fr/exaprint-en-tete-du-palmares-des-imprimeries-les-plus-rentables/" TargetMode="External"/><Relationship Id="rId150" Type="http://schemas.openxmlformats.org/officeDocument/2006/relationships/hyperlink" Target="https://www.printoclock.com/imprimeur-professionnel" TargetMode="External"/><Relationship Id="rId87" Type="http://schemas.openxmlformats.org/officeDocument/2006/relationships/hyperlink" Target="https://www.plimsoll.fr/rapports-de-marche/imprimeurs" TargetMode="External"/><Relationship Id="rId89" Type="http://schemas.openxmlformats.org/officeDocument/2006/relationships/hyperlink" Target="https://www.annuairefrancais.fr/imprimeur/" TargetMode="External"/><Relationship Id="rId80" Type="http://schemas.openxmlformats.org/officeDocument/2006/relationships/hyperlink" Target="https://www.zaprinta.fr/" TargetMode="External"/><Relationship Id="rId82" Type="http://schemas.openxmlformats.org/officeDocument/2006/relationships/hyperlink" Target="https://www.goodies.studio/" TargetMode="External"/><Relationship Id="rId81" Type="http://schemas.openxmlformats.org/officeDocument/2006/relationships/hyperlink" Target="https://www.printecom-madeinfrance.fr/" TargetMode="External"/><Relationship Id="rId1" Type="http://schemas.openxmlformats.org/officeDocument/2006/relationships/hyperlink" Target="https://www.mon-tote-bag.fr/tote-bag-personnalise/" TargetMode="External"/><Relationship Id="rId2" Type="http://schemas.openxmlformats.org/officeDocument/2006/relationships/hyperlink" Target="https://www.mon-tote-bag.fr/" TargetMode="External"/><Relationship Id="rId3" Type="http://schemas.openxmlformats.org/officeDocument/2006/relationships/hyperlink" Target="https://ecostart.fr/top-alternatives-a-vistaprint-trouvez-votre-imprimeur-en-ligne-ideal/" TargetMode="External"/><Relationship Id="rId149" Type="http://schemas.openxmlformats.org/officeDocument/2006/relationships/hyperlink" Target="https://www.printoclock.com/brochures/auto-edition" TargetMode="External"/><Relationship Id="rId4" Type="http://schemas.openxmlformats.org/officeDocument/2006/relationships/hyperlink" Target="https://www.reddit.com/r/france/comments/1p9vij4/o%C3%B9_faire_imprimer_des_prints_et_stickers/" TargetMode="External"/><Relationship Id="rId148" Type="http://schemas.openxmlformats.org/officeDocument/2006/relationships/hyperlink" Target="https://www.printoclock.com/imprimerie/pub" TargetMode="External"/><Relationship Id="rId9" Type="http://schemas.openxmlformats.org/officeDocument/2006/relationships/hyperlink" Target="https://www.outils-accessoires.fr/vos-documents-administratifs/imprimeur-en-ligne-lideal-pour-votre-projet.html" TargetMode="External"/><Relationship Id="rId143" Type="http://schemas.openxmlformats.org/officeDocument/2006/relationships/hyperlink" Target="https://www.printoclock.com/avis-clients" TargetMode="External"/><Relationship Id="rId142" Type="http://schemas.openxmlformats.org/officeDocument/2006/relationships/hyperlink" Target="https://www.consumer-guidance.com/fr/infos-guides-pratiques/services-impression-en-ligne-les-plus-populaires-en-france/" TargetMode="External"/><Relationship Id="rId141" Type="http://schemas.openxmlformats.org/officeDocument/2006/relationships/hyperlink" Target="https://www.limprimeriegenerale.com/" TargetMode="External"/><Relationship Id="rId140" Type="http://schemas.openxmlformats.org/officeDocument/2006/relationships/hyperlink" Target="https://www.jimprime.net/" TargetMode="External"/><Relationship Id="rId5" Type="http://schemas.openxmlformats.org/officeDocument/2006/relationships/hyperlink" Target="https://www.reddit.com/r/france/comments/iqtmd6" TargetMode="External"/><Relationship Id="rId147" Type="http://schemas.openxmlformats.org/officeDocument/2006/relationships/hyperlink" Target="https://www.printoclock.com/goodies" TargetMode="External"/><Relationship Id="rId6" Type="http://schemas.openxmlformats.org/officeDocument/2006/relationships/hyperlink" Target="https://www.reddit.com/r/AskFrance/comments/1piyd0o/faire_imprimer_un_poster/" TargetMode="External"/><Relationship Id="rId146" Type="http://schemas.openxmlformats.org/officeDocument/2006/relationships/hyperlink" Target="https://www.printoclock.com/calendrier-personnalise" TargetMode="External"/><Relationship Id="rId7" Type="http://schemas.openxmlformats.org/officeDocument/2006/relationships/hyperlink" Target="https://www.reddit.com/r/u_Proof_Discipline_108/comments/1qi1hbs/questce_quun_objet_promotionnel_et_publicitaire/" TargetMode="External"/><Relationship Id="rId145" Type="http://schemas.openxmlformats.org/officeDocument/2006/relationships/hyperlink" Target="https://www.printoclock.com/imprimerie" TargetMode="External"/><Relationship Id="rId8" Type="http://schemas.openxmlformats.org/officeDocument/2006/relationships/hyperlink" Target="https://entreprise-innov.fr/711/imprimeur-en-ligne-des-impressions-variees-a-prix-doux/" TargetMode="External"/><Relationship Id="rId144" Type="http://schemas.openxmlformats.org/officeDocument/2006/relationships/hyperlink" Target="https://www.printoclock.com/conseils-imprimeur-en-ligne" TargetMode="External"/><Relationship Id="rId73" Type="http://schemas.openxmlformats.org/officeDocument/2006/relationships/hyperlink" Target="https://www.plus-que-pro.fr/adherents/imprimerie/" TargetMode="External"/><Relationship Id="rId72" Type="http://schemas.openxmlformats.org/officeDocument/2006/relationships/hyperlink" Target="https://www.hello-conso.info/c/services-aux-entreprises/imprimeur/" TargetMode="External"/><Relationship Id="rId75" Type="http://schemas.openxmlformats.org/officeDocument/2006/relationships/hyperlink" Target="https://www.booklette.fr/autoedition-quels-criteres-pour-choisir-son-imprimeur.html" TargetMode="External"/><Relationship Id="rId74" Type="http://schemas.openxmlformats.org/officeDocument/2006/relationships/hyperlink" Target="https://www.topexpo.fr/comment-bien-choisir-un-imprimeur-en-ligne/" TargetMode="External"/><Relationship Id="rId77" Type="http://schemas.openxmlformats.org/officeDocument/2006/relationships/hyperlink" Target="https://lemarche.inclusion.gouv.fr/nos-imprimeurs-solidaires-pour-vos-projets-professionnels/imprimeurs-en-ligne/" TargetMode="External"/><Relationship Id="rId76" Type="http://schemas.openxmlformats.org/officeDocument/2006/relationships/hyperlink" Target="https://agence-ilargia.fr/articles/template-article-dupliquer-1474/" TargetMode="External"/><Relationship Id="rId79" Type="http://schemas.openxmlformats.org/officeDocument/2006/relationships/hyperlink" Target="https://douce-impression.com/entreprise/" TargetMode="External"/><Relationship Id="rId78" Type="http://schemas.openxmlformats.org/officeDocument/2006/relationships/hyperlink" Target="https://www.crafters.fr/objets-personnalises-personnalise" TargetMode="External"/><Relationship Id="rId71" Type="http://schemas.openxmlformats.org/officeDocument/2006/relationships/hyperlink" Target="https://www.avismalin.com/c/services-aux-entreprises/imprimeur/" TargetMode="External"/><Relationship Id="rId70" Type="http://schemas.openxmlformats.org/officeDocument/2006/relationships/hyperlink" Target="https://uk.trustpilot.com/review/www.exaprint.fr" TargetMode="External"/><Relationship Id="rId139" Type="http://schemas.openxmlformats.org/officeDocument/2006/relationships/hyperlink" Target="https://www.veoprint.com/" TargetMode="External"/><Relationship Id="rId138" Type="http://schemas.openxmlformats.org/officeDocument/2006/relationships/hyperlink" Target="https://www.veoprint.com/impression-catalogue-produit" TargetMode="External"/><Relationship Id="rId137" Type="http://schemas.openxmlformats.org/officeDocument/2006/relationships/hyperlink" Target="https://www.veoprint.com/impression-flyers" TargetMode="External"/><Relationship Id="rId132" Type="http://schemas.openxmlformats.org/officeDocument/2006/relationships/hyperlink" Target="https://www.veoprint.com/services-veoprint" TargetMode="External"/><Relationship Id="rId131" Type="http://schemas.openxmlformats.org/officeDocument/2006/relationships/hyperlink" Target="https://www.print.com/fr/" TargetMode="External"/><Relationship Id="rId130" Type="http://schemas.openxmlformats.org/officeDocument/2006/relationships/hyperlink" Target="https://www.print.com/fr/revendeurs/" TargetMode="External"/><Relationship Id="rId136" Type="http://schemas.openxmlformats.org/officeDocument/2006/relationships/hyperlink" Target="https://www.veoprint.com/impression-flyers-de-qualite" TargetMode="External"/><Relationship Id="rId135" Type="http://schemas.openxmlformats.org/officeDocument/2006/relationships/hyperlink" Target="https://www.veoprint.com/impression-flyers-rapide" TargetMode="External"/><Relationship Id="rId134" Type="http://schemas.openxmlformats.org/officeDocument/2006/relationships/hyperlink" Target="https://www.veoprint.com/cat-goodies.html" TargetMode="External"/><Relationship Id="rId133" Type="http://schemas.openxmlformats.org/officeDocument/2006/relationships/hyperlink" Target="https://www.veoprint.com/imprimeur-en-ligne-reference-entreprise" TargetMode="External"/><Relationship Id="rId62" Type="http://schemas.openxmlformats.org/officeDocument/2006/relationships/hyperlink" Target="https://fr.trustpilot.com/categories/print_shop" TargetMode="External"/><Relationship Id="rId61" Type="http://schemas.openxmlformats.org/officeDocument/2006/relationships/hyperlink" Target="https://fr.wikipedia.org/wiki/Korus_Imprimerie_-_Imprimerie_%C3%A0_R%C3%A9action" TargetMode="External"/><Relationship Id="rId64" Type="http://schemas.openxmlformats.org/officeDocument/2006/relationships/hyperlink" Target="https://www.objetrama.fr/ecriture/stylos-publicitaires-personnalises.html" TargetMode="External"/><Relationship Id="rId63" Type="http://schemas.openxmlformats.org/officeDocument/2006/relationships/hyperlink" Target="https://www.objetrama.fr/ecriture/stylos-publicitaires-personnalises.html?p=16" TargetMode="External"/><Relationship Id="rId66" Type="http://schemas.openxmlformats.org/officeDocument/2006/relationships/hyperlink" Target="https://pubandgifts.fr/fr/" TargetMode="External"/><Relationship Id="rId172" Type="http://schemas.openxmlformats.org/officeDocument/2006/relationships/hyperlink" Target="https://www.mesbeauxtotebags.fr/" TargetMode="External"/><Relationship Id="rId65" Type="http://schemas.openxmlformats.org/officeDocument/2006/relationships/hyperlink" Target="https://www.e-goodies.fr/" TargetMode="External"/><Relationship Id="rId171" Type="http://schemas.openxmlformats.org/officeDocument/2006/relationships/hyperlink" Target="https://www.maxilia.fr/sac-tissu-personnalise/tote-bag-personnalise/" TargetMode="External"/><Relationship Id="rId68" Type="http://schemas.openxmlformats.org/officeDocument/2006/relationships/hyperlink" Target="https://www.poulpeo.com/avis/printoclock.htm" TargetMode="External"/><Relationship Id="rId170" Type="http://schemas.openxmlformats.org/officeDocument/2006/relationships/hyperlink" Target="https://www.maxilia.fr/stylo-personnalise/" TargetMode="External"/><Relationship Id="rId67" Type="http://schemas.openxmlformats.org/officeDocument/2006/relationships/hyperlink" Target="https://avis-printoclock.com/" TargetMode="External"/><Relationship Id="rId60" Type="http://schemas.openxmlformats.org/officeDocument/2006/relationships/hyperlink" Target="https://www.impression-expert.fr/post/les-10-plus-grands-imprimeurs-de-france" TargetMode="External"/><Relationship Id="rId165" Type="http://schemas.openxmlformats.org/officeDocument/2006/relationships/hyperlink" Target="https://wanapix.fr/tote-bag-personnalise" TargetMode="External"/><Relationship Id="rId69" Type="http://schemas.openxmlformats.org/officeDocument/2006/relationships/hyperlink" Target="https://toulouse.latribune.fr/entreprises/2023-04-21/printoclock-prospere-dans-l-impression-et-s-ouvre-a-l-edition-958372.html" TargetMode="External"/><Relationship Id="rId164" Type="http://schemas.openxmlformats.org/officeDocument/2006/relationships/hyperlink" Target="https://www.objetpubdesign.com/72-stylo" TargetMode="External"/><Relationship Id="rId163" Type="http://schemas.openxmlformats.org/officeDocument/2006/relationships/hyperlink" Target="https://www.objectile.fr/offre-personnalise/objets-publicitaires/goodies-personnalises/" TargetMode="External"/><Relationship Id="rId162" Type="http://schemas.openxmlformats.org/officeDocument/2006/relationships/hyperlink" Target="https://koaprint.fr/objets/bureautique/stylos/" TargetMode="External"/><Relationship Id="rId169" Type="http://schemas.openxmlformats.org/officeDocument/2006/relationships/hyperlink" Target="https://www.btobag.fr/sac-personnalise/tote-bag-personnalise/impression-tote-bag" TargetMode="External"/><Relationship Id="rId168" Type="http://schemas.openxmlformats.org/officeDocument/2006/relationships/hyperlink" Target="https://sac-personnalisable.net/nos-produits/tote-bag-personnalise/" TargetMode="External"/><Relationship Id="rId167" Type="http://schemas.openxmlformats.org/officeDocument/2006/relationships/hyperlink" Target="https://www.yoursurprise.fr/sacs-sacs-a-dos/sacs/tote-bag" TargetMode="External"/><Relationship Id="rId166" Type="http://schemas.openxmlformats.org/officeDocument/2006/relationships/hyperlink" Target="https://www.gifta.fr/cadeaux-photo/tote-bag-personnalise/" TargetMode="External"/><Relationship Id="rId51" Type="http://schemas.openxmlformats.org/officeDocument/2006/relationships/hyperlink" Target="https://www.reflexprinting.fr/site-internet-metier/site-imprimerie-en-ligne" TargetMode="External"/><Relationship Id="rId50" Type="http://schemas.openxmlformats.org/officeDocument/2006/relationships/hyperlink" Target="https://www.fluoo.com/" TargetMode="External"/><Relationship Id="rId53" Type="http://schemas.openxmlformats.org/officeDocument/2006/relationships/hyperlink" Target="https://www.lesgrandesimprimeries.com/" TargetMode="External"/><Relationship Id="rId52" Type="http://schemas.openxmlformats.org/officeDocument/2006/relationships/hyperlink" Target="https://www.imprimeur-en-ligne.fr/" TargetMode="External"/><Relationship Id="rId55" Type="http://schemas.openxmlformats.org/officeDocument/2006/relationships/hyperlink" Target="https://www.objectile.fr/produits/objet-personnalisable/stylos-crayons/" TargetMode="External"/><Relationship Id="rId161" Type="http://schemas.openxmlformats.org/officeDocument/2006/relationships/hyperlink" Target="https://www.printforyou.fr/" TargetMode="External"/><Relationship Id="rId54" Type="http://schemas.openxmlformats.org/officeDocument/2006/relationships/hyperlink" Target="https://www.fashiontiy.com/fr/custom-pens.html" TargetMode="External"/><Relationship Id="rId160" Type="http://schemas.openxmlformats.org/officeDocument/2006/relationships/hyperlink" Target="https://www.limprimeurpapier.com/" TargetMode="External"/><Relationship Id="rId57" Type="http://schemas.openxmlformats.org/officeDocument/2006/relationships/hyperlink" Target="https://stylo-france.fr/" TargetMode="External"/><Relationship Id="rId56" Type="http://schemas.openxmlformats.org/officeDocument/2006/relationships/hyperlink" Target="https://shop.katanga.fr/5396-stylos-personnalises" TargetMode="External"/><Relationship Id="rId159" Type="http://schemas.openxmlformats.org/officeDocument/2006/relationships/hyperlink" Target="https://www.lesgrandesimprimeries.com/comparatif-prix-flyers" TargetMode="External"/><Relationship Id="rId59" Type="http://schemas.openxmlformats.org/officeDocument/2006/relationships/hyperlink" Target="https://blog.copees.com/top-5-des-meilleurs-imprimeurs-a-paris-en-2025/" TargetMode="External"/><Relationship Id="rId154" Type="http://schemas.openxmlformats.org/officeDocument/2006/relationships/hyperlink" Target="https://www.imprimeur-en-ligne.fr/catalogue/" TargetMode="External"/><Relationship Id="rId58" Type="http://schemas.openxmlformats.org/officeDocument/2006/relationships/hyperlink" Target="https://www.monimprimeurfrancais.com/impression/societe/avis" TargetMode="External"/><Relationship Id="rId153" Type="http://schemas.openxmlformats.org/officeDocument/2006/relationships/hyperlink" Target="https://www.imprimeur-en-ligne.fr/plus-dimpression/entre-imprimeur-ligne-imprimeur-traditionnel-choisir/" TargetMode="External"/><Relationship Id="rId152" Type="http://schemas.openxmlformats.org/officeDocument/2006/relationships/hyperlink" Target="https://www.reflexprinting.fr/site-imprimerie-en-ligne" TargetMode="External"/><Relationship Id="rId151" Type="http://schemas.openxmlformats.org/officeDocument/2006/relationships/hyperlink" Target="https://www.nextprint.fr/" TargetMode="External"/><Relationship Id="rId158" Type="http://schemas.openxmlformats.org/officeDocument/2006/relationships/hyperlink" Target="https://www.lesgrandesimprimeries.com/brochure-agrafe" TargetMode="External"/><Relationship Id="rId157" Type="http://schemas.openxmlformats.org/officeDocument/2006/relationships/hyperlink" Target="https://www.lesgrandesimprimeries.com/impression-flyers-avis" TargetMode="External"/><Relationship Id="rId156" Type="http://schemas.openxmlformats.org/officeDocument/2006/relationships/hyperlink" Target="https://www.helloprint.com/fr-fr/" TargetMode="External"/><Relationship Id="rId155" Type="http://schemas.openxmlformats.org/officeDocument/2006/relationships/hyperlink" Target="https://www.imprimeur-en-ligne.fr/limprimerie/" TargetMode="External"/><Relationship Id="rId107" Type="http://schemas.openxmlformats.org/officeDocument/2006/relationships/hyperlink" Target="https://suissaimprimeur.fr/nos-produits/" TargetMode="External"/><Relationship Id="rId106" Type="http://schemas.openxmlformats.org/officeDocument/2006/relationships/hyperlink" Target="https://www.axonprofil.fr/stylos" TargetMode="External"/><Relationship Id="rId105" Type="http://schemas.openxmlformats.org/officeDocument/2006/relationships/hyperlink" Target="https://www.stylo-personnalisable.fr/" TargetMode="External"/><Relationship Id="rId104" Type="http://schemas.openxmlformats.org/officeDocument/2006/relationships/hyperlink" Target="https://atelierbox.fr/collections/stylos-et-crayons-a-personnaliser-graves-et-imprimes-en-france" TargetMode="External"/><Relationship Id="rId109" Type="http://schemas.openxmlformats.org/officeDocument/2006/relationships/hyperlink" Target="https://enveloffset.com/catalogue-produits/" TargetMode="External"/><Relationship Id="rId108" Type="http://schemas.openxmlformats.org/officeDocument/2006/relationships/hyperlink" Target="https://www.exaprint.fr/page/exacat" TargetMode="External"/><Relationship Id="rId103" Type="http://schemas.openxmlformats.org/officeDocument/2006/relationships/hyperlink" Target="https://atelierbox.fr/collections/tote-bags-personnalisables-brodes-et-imprimes-en-france" TargetMode="External"/><Relationship Id="rId102" Type="http://schemas.openxmlformats.org/officeDocument/2006/relationships/hyperlink" Target="https://www.imprimerieflyer.com/" TargetMode="External"/><Relationship Id="rId101" Type="http://schemas.openxmlformats.org/officeDocument/2006/relationships/hyperlink" Target="https://www.imprimer-vert.fr/avis_imprimer_vert/" TargetMode="External"/><Relationship Id="rId100" Type="http://schemas.openxmlformats.org/officeDocument/2006/relationships/hyperlink" Target="https://www.imprimerie-market.com/produit/imprimerie-pas-cher-en-ligne/" TargetMode="External"/><Relationship Id="rId129" Type="http://schemas.openxmlformats.org/officeDocument/2006/relationships/hyperlink" Target="https://www.print.com/fr/impression-gadgets-et-goodies/" TargetMode="External"/><Relationship Id="rId128" Type="http://schemas.openxmlformats.org/officeDocument/2006/relationships/hyperlink" Target="https://www.copymage.com/" TargetMode="External"/><Relationship Id="rId127" Type="http://schemas.openxmlformats.org/officeDocument/2006/relationships/hyperlink" Target="https://spreadly.app/fr/blog/imprime-carte-de-visite" TargetMode="External"/><Relationship Id="rId126" Type="http://schemas.openxmlformats.org/officeDocument/2006/relationships/hyperlink" Target="https://www.bestfree.nl/fr/easyflyer-fr-avis-et-prix/" TargetMode="External"/><Relationship Id="rId121" Type="http://schemas.openxmlformats.org/officeDocument/2006/relationships/hyperlink" Target="https://www.imprimerie-brochure.com/" TargetMode="External"/><Relationship Id="rId120" Type="http://schemas.openxmlformats.org/officeDocument/2006/relationships/hyperlink" Target="https://www.trouve-ton-imprimeur.fr/imprimeurs/absurde-impression.html" TargetMode="External"/><Relationship Id="rId125" Type="http://schemas.openxmlformats.org/officeDocument/2006/relationships/hyperlink" Target="https://www.absurde.eu/" TargetMode="External"/><Relationship Id="rId124" Type="http://schemas.openxmlformats.org/officeDocument/2006/relationships/hyperlink" Target="https://www.absurde.eu/categorie/brochures/brochures-agrafees/" TargetMode="External"/><Relationship Id="rId123" Type="http://schemas.openxmlformats.org/officeDocument/2006/relationships/hyperlink" Target="https://strasprint.fr/" TargetMode="External"/><Relationship Id="rId122" Type="http://schemas.openxmlformats.org/officeDocument/2006/relationships/hyperlink" Target="https://groupecar.com/" TargetMode="External"/><Relationship Id="rId95" Type="http://schemas.openxmlformats.org/officeDocument/2006/relationships/hyperlink" Target="https://www.filifloc.fr/cp/objets-publicitaires-personnalisables/" TargetMode="External"/><Relationship Id="rId94" Type="http://schemas.openxmlformats.org/officeDocument/2006/relationships/hyperlink" Target="https://goodiespublicitaires.fr/123-totes-bags-personnalises" TargetMode="External"/><Relationship Id="rId97" Type="http://schemas.openxmlformats.org/officeDocument/2006/relationships/hyperlink" Target="https://totebag.studio/tote-bag-personnalise-pour-entreprise-branding-ou-goodies/" TargetMode="External"/><Relationship Id="rId96" Type="http://schemas.openxmlformats.org/officeDocument/2006/relationships/hyperlink" Target="https://www.goodies-discount.fr/gammes/tote-bag-personnalise-321" TargetMode="External"/><Relationship Id="rId99" Type="http://schemas.openxmlformats.org/officeDocument/2006/relationships/hyperlink" Target="https://www.stampasi.fr/entreprise-goodies" TargetMode="External"/><Relationship Id="rId98" Type="http://schemas.openxmlformats.org/officeDocument/2006/relationships/hyperlink" Target="https://www.stampasi.fr/tote-bag-personnalise" TargetMode="External"/><Relationship Id="rId91" Type="http://schemas.openxmlformats.org/officeDocument/2006/relationships/hyperlink" Target="https://www.realisaprint.com/blog/conseils/8-bonnes-raisons-de-choisir-un-imprimeur-en-ligne/" TargetMode="External"/><Relationship Id="rId90" Type="http://schemas.openxmlformats.org/officeDocument/2006/relationships/hyperlink" Target="https://fr.printflux.com/" TargetMode="External"/><Relationship Id="rId93" Type="http://schemas.openxmlformats.org/officeDocument/2006/relationships/hyperlink" Target="https://cadoetik.com/goodies-ecriture" TargetMode="External"/><Relationship Id="rId92" Type="http://schemas.openxmlformats.org/officeDocument/2006/relationships/hyperlink" Target="https://www.pixartprinting.fr/" TargetMode="External"/><Relationship Id="rId118" Type="http://schemas.openxmlformats.org/officeDocument/2006/relationships/hyperlink" Target="https://www.elsassprint.com/" TargetMode="External"/><Relationship Id="rId117" Type="http://schemas.openxmlformats.org/officeDocument/2006/relationships/hyperlink" Target="https://www.imprimeriestrasbourg.com/" TargetMode="External"/><Relationship Id="rId116" Type="http://schemas.openxmlformats.org/officeDocument/2006/relationships/hyperlink" Target="https://incagraphic.fr/" TargetMode="External"/><Relationship Id="rId115" Type="http://schemas.openxmlformats.org/officeDocument/2006/relationships/hyperlink" Target="https://www.imprimerie-geiger.fr/" TargetMode="External"/><Relationship Id="rId119" Type="http://schemas.openxmlformats.org/officeDocument/2006/relationships/hyperlink" Target="https://www.absurdeimpression.com/" TargetMode="External"/><Relationship Id="rId110" Type="http://schemas.openxmlformats.org/officeDocument/2006/relationships/hyperlink" Target="https://www.impressionpro.fr/catalogue" TargetMode="External"/><Relationship Id="rId114" Type="http://schemas.openxmlformats.org/officeDocument/2006/relationships/hyperlink" Target="https://www.catalogue.services/imprimeur/" TargetMode="External"/><Relationship Id="rId113" Type="http://schemas.openxmlformats.org/officeDocument/2006/relationships/hyperlink" Target="https://www.agir-graphic.fr/commerce-et-distribution/" TargetMode="External"/><Relationship Id="rId112" Type="http://schemas.openxmlformats.org/officeDocument/2006/relationships/hyperlink" Target="https://www.aubinimprimeur.fr/catalogues/" TargetMode="External"/><Relationship Id="rId111" Type="http://schemas.openxmlformats.org/officeDocument/2006/relationships/hyperlink" Target="https://www.copytop.com/produits/catalogues-dossiers/catalogue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://reddit.com" TargetMode="External"/><Relationship Id="rId22" Type="http://schemas.openxmlformats.org/officeDocument/2006/relationships/drawing" Target="../drawings/drawing2.xml"/><Relationship Id="rId21" Type="http://schemas.openxmlformats.org/officeDocument/2006/relationships/hyperlink" Target="http://startups-nation.fr" TargetMode="External"/><Relationship Id="rId11" Type="http://schemas.openxmlformats.org/officeDocument/2006/relationships/hyperlink" Target="http://fr.bepub.com" TargetMode="External"/><Relationship Id="rId10" Type="http://schemas.openxmlformats.org/officeDocument/2006/relationships/hyperlink" Target="http://www.europe-etiquettes.fr" TargetMode="External"/><Relationship Id="rId13" Type="http://schemas.openxmlformats.org/officeDocument/2006/relationships/hyperlink" Target="http://lemonde.fr" TargetMode="External"/><Relationship Id="rId12" Type="http://schemas.openxmlformats.org/officeDocument/2006/relationships/hyperlink" Target="http://latribune.fr" TargetMode="External"/><Relationship Id="rId15" Type="http://schemas.openxmlformats.org/officeDocument/2006/relationships/hyperlink" Target="http://moovement.fr" TargetMode="External"/><Relationship Id="rId14" Type="http://schemas.openxmlformats.org/officeDocument/2006/relationships/hyperlink" Target="http://mon-tote-bag.fr" TargetMode="External"/><Relationship Id="rId17" Type="http://schemas.openxmlformats.org/officeDocument/2006/relationships/hyperlink" Target="http://outils-accessoires.fr" TargetMode="External"/><Relationship Id="rId16" Type="http://schemas.openxmlformats.org/officeDocument/2006/relationships/hyperlink" Target="http://net67.fr" TargetMode="External"/><Relationship Id="rId19" Type="http://schemas.openxmlformats.org/officeDocument/2006/relationships/hyperlink" Target="http://pme-web.com" TargetMode="External"/><Relationship Id="rId18" Type="http://schemas.openxmlformats.org/officeDocument/2006/relationships/hyperlink" Target="http://pardotconsulting.fr" TargetMode="External"/><Relationship Id="rId1" Type="http://schemas.openxmlformats.org/officeDocument/2006/relationships/hyperlink" Target="http://24presse.com" TargetMode="External"/><Relationship Id="rId2" Type="http://schemas.openxmlformats.org/officeDocument/2006/relationships/hyperlink" Target="http://aspekt.fr" TargetMode="External"/><Relationship Id="rId3" Type="http://schemas.openxmlformats.org/officeDocument/2006/relationships/hyperlink" Target="http://babdp.org" TargetMode="External"/><Relationship Id="rId4" Type="http://schemas.openxmlformats.org/officeDocument/2006/relationships/hyperlink" Target="http://cartonrecup.com" TargetMode="External"/><Relationship Id="rId9" Type="http://schemas.openxmlformats.org/officeDocument/2006/relationships/hyperlink" Target="http://europe-etiquettes.fr" TargetMode="External"/><Relationship Id="rId5" Type="http://schemas.openxmlformats.org/officeDocument/2006/relationships/hyperlink" Target="http://digitiz.fr" TargetMode="External"/><Relationship Id="rId6" Type="http://schemas.openxmlformats.org/officeDocument/2006/relationships/hyperlink" Target="http://ecostart.fr" TargetMode="External"/><Relationship Id="rId7" Type="http://schemas.openxmlformats.org/officeDocument/2006/relationships/hyperlink" Target="http://entreprise-innov.fr" TargetMode="External"/><Relationship Id="rId8" Type="http://schemas.openxmlformats.org/officeDocument/2006/relationships/hyperlink" Target="http://europages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7.25"/>
    <col customWidth="1" min="2" max="2" width="28.75"/>
    <col customWidth="1" min="6" max="6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tr">
        <f>IFERROR(__xludf.DUMMYFUNCTION("REGEXREPLACE(A2, ""^https?://(www\.)?|/.*"", """")"),"mon-tote-bag.fr")</f>
        <v>mon-tote-bag.fr</v>
      </c>
      <c r="C2" s="1" t="s">
        <v>8</v>
      </c>
      <c r="D2" s="1">
        <v>1.0</v>
      </c>
      <c r="E2" s="1" t="s">
        <v>9</v>
      </c>
      <c r="F2" s="1" t="s">
        <v>10</v>
      </c>
      <c r="G2" s="4">
        <f t="array" ref="G2">XLOOKUP(B2,Sheet1!A:A,Sheet1!B:B,"absent des plateformes")</f>
        <v>13</v>
      </c>
    </row>
    <row r="3">
      <c r="A3" s="2" t="s">
        <v>11</v>
      </c>
      <c r="B3" s="3" t="str">
        <f>IFERROR(__xludf.DUMMYFUNCTION("REGEXREPLACE(A3, ""^https?://(www\.)?|/.*"", """")"),"mon-tote-bag.fr")</f>
        <v>mon-tote-bag.fr</v>
      </c>
      <c r="C3" s="1" t="s">
        <v>8</v>
      </c>
      <c r="D3" s="1">
        <v>1.0</v>
      </c>
      <c r="E3" s="1" t="s">
        <v>9</v>
      </c>
      <c r="F3" s="1" t="s">
        <v>10</v>
      </c>
      <c r="G3" s="4">
        <f t="array" ref="G3">XLOOKUP(B3,Sheet1!A:A,Sheet1!B:B,"absent des plateformes")</f>
        <v>13</v>
      </c>
    </row>
    <row r="4">
      <c r="A4" s="2" t="s">
        <v>12</v>
      </c>
      <c r="B4" s="3" t="str">
        <f>IFERROR(__xludf.DUMMYFUNCTION("REGEXREPLACE(A4, ""^https?://(www\.)?|/.*"", """")"),"ecostart.fr")</f>
        <v>ecostart.fr</v>
      </c>
      <c r="C4" s="1" t="s">
        <v>8</v>
      </c>
      <c r="D4" s="1">
        <v>1.0</v>
      </c>
      <c r="E4" s="1" t="s">
        <v>13</v>
      </c>
      <c r="F4" s="1" t="s">
        <v>14</v>
      </c>
      <c r="G4" s="4">
        <f t="array" ref="G4">XLOOKUP(B4,Sheet1!A:A,Sheet1!B:B,"absent des plateformes")</f>
        <v>22</v>
      </c>
    </row>
    <row r="5">
      <c r="A5" s="2" t="s">
        <v>15</v>
      </c>
      <c r="B5" s="3" t="str">
        <f>IFERROR(__xludf.DUMMYFUNCTION("REGEXREPLACE(A5, ""^https?://(www\.)?|/.*"", """")"),"reddit.com")</f>
        <v>reddit.com</v>
      </c>
      <c r="C5" s="1" t="s">
        <v>8</v>
      </c>
      <c r="D5" s="1">
        <v>2.0</v>
      </c>
      <c r="E5" s="1" t="s">
        <v>13</v>
      </c>
      <c r="F5" s="1" t="s">
        <v>10</v>
      </c>
      <c r="G5" s="4">
        <f t="array" ref="G5">XLOOKUP(B5,Sheet1!A:A,Sheet1!B:B,"absent des plateformes")</f>
        <v>29</v>
      </c>
    </row>
    <row r="6">
      <c r="A6" s="2" t="s">
        <v>16</v>
      </c>
      <c r="B6" s="3" t="str">
        <f>IFERROR(__xludf.DUMMYFUNCTION("REGEXREPLACE(A6, ""^https?://(www\.)?|/.*"", """")"),"reddit.com")</f>
        <v>reddit.com</v>
      </c>
      <c r="C6" s="1" t="s">
        <v>8</v>
      </c>
      <c r="D6" s="1">
        <v>2.0</v>
      </c>
      <c r="E6" s="1" t="s">
        <v>13</v>
      </c>
      <c r="F6" s="1" t="s">
        <v>10</v>
      </c>
      <c r="G6" s="4">
        <f t="array" ref="G6">XLOOKUP(B6,Sheet1!A:A,Sheet1!B:B,"absent des plateformes")</f>
        <v>29</v>
      </c>
    </row>
    <row r="7">
      <c r="A7" s="2" t="s">
        <v>17</v>
      </c>
      <c r="B7" s="3" t="str">
        <f>IFERROR(__xludf.DUMMYFUNCTION("REGEXREPLACE(A7, ""^https?://(www\.)?|/.*"", """")"),"reddit.com")</f>
        <v>reddit.com</v>
      </c>
      <c r="C7" s="1" t="s">
        <v>8</v>
      </c>
      <c r="D7" s="1">
        <v>1.0</v>
      </c>
      <c r="E7" s="1" t="s">
        <v>13</v>
      </c>
      <c r="F7" s="1" t="s">
        <v>10</v>
      </c>
      <c r="G7" s="4">
        <f t="array" ref="G7">XLOOKUP(B7,Sheet1!A:A,Sheet1!B:B,"absent des plateformes")</f>
        <v>29</v>
      </c>
    </row>
    <row r="8">
      <c r="A8" s="2" t="s">
        <v>18</v>
      </c>
      <c r="B8" s="3" t="str">
        <f>IFERROR(__xludf.DUMMYFUNCTION("REGEXREPLACE(A8, ""^https?://(www\.)?|/.*"", """")"),"reddit.com")</f>
        <v>reddit.com</v>
      </c>
      <c r="C8" s="1" t="s">
        <v>8</v>
      </c>
      <c r="D8" s="1">
        <v>1.0</v>
      </c>
      <c r="E8" s="1" t="s">
        <v>19</v>
      </c>
      <c r="F8" s="1" t="s">
        <v>10</v>
      </c>
      <c r="G8" s="4">
        <f t="array" ref="G8">XLOOKUP(B8,Sheet1!A:A,Sheet1!B:B,"absent des plateformes")</f>
        <v>29</v>
      </c>
    </row>
    <row r="9">
      <c r="A9" s="2" t="s">
        <v>20</v>
      </c>
      <c r="B9" s="3" t="str">
        <f>IFERROR(__xludf.DUMMYFUNCTION("REGEXREPLACE(A9, ""^https?://(www\.)?|/.*"", """")"),"entreprise-innov.fr")</f>
        <v>entreprise-innov.fr</v>
      </c>
      <c r="C9" s="1" t="s">
        <v>8</v>
      </c>
      <c r="D9" s="1">
        <v>2.0</v>
      </c>
      <c r="E9" s="1" t="s">
        <v>21</v>
      </c>
      <c r="F9" s="1" t="s">
        <v>10</v>
      </c>
      <c r="G9" s="4">
        <f t="array" ref="G9">XLOOKUP(B9,Sheet1!A:A,Sheet1!B:B,"absent des plateformes")</f>
        <v>46</v>
      </c>
    </row>
    <row r="10">
      <c r="A10" s="2" t="s">
        <v>22</v>
      </c>
      <c r="B10" s="3" t="str">
        <f>IFERROR(__xludf.DUMMYFUNCTION("REGEXREPLACE(A10, ""^https?://(www\.)?|/.*"", """")"),"outils-accessoires.fr")</f>
        <v>outils-accessoires.fr</v>
      </c>
      <c r="C10" s="1" t="s">
        <v>8</v>
      </c>
      <c r="D10" s="1">
        <v>1.0</v>
      </c>
      <c r="E10" s="1" t="s">
        <v>23</v>
      </c>
      <c r="F10" s="1" t="s">
        <v>10</v>
      </c>
      <c r="G10" s="4">
        <f t="array" ref="G10">XLOOKUP(B10,Sheet1!A:A,Sheet1!B:B,"absent des plateformes")</f>
        <v>46</v>
      </c>
    </row>
    <row r="11">
      <c r="A11" s="5" t="s">
        <v>24</v>
      </c>
      <c r="B11" s="3" t="str">
        <f>IFERROR(__xludf.DUMMYFUNCTION("REGEXREPLACE(A11, ""^https?://(www\.)?|/.*"", """")"),"startups-nation.fr")</f>
        <v>startups-nation.fr</v>
      </c>
      <c r="C11" s="1" t="s">
        <v>8</v>
      </c>
      <c r="D11" s="1">
        <v>3.0</v>
      </c>
      <c r="E11" s="1" t="s">
        <v>25</v>
      </c>
      <c r="F11" s="1" t="s">
        <v>10</v>
      </c>
      <c r="G11" s="4">
        <f t="array" ref="G11">XLOOKUP(B11,Sheet1!A:A,Sheet1!B:B,"absent des plateformes")</f>
        <v>49</v>
      </c>
    </row>
    <row r="12">
      <c r="A12" s="2" t="s">
        <v>26</v>
      </c>
      <c r="B12" s="3" t="str">
        <f>IFERROR(__xludf.DUMMYFUNCTION("REGEXREPLACE(A12, ""^https?://(www\.)?|/.*"", """")"),"startups-nation.fr")</f>
        <v>startups-nation.fr</v>
      </c>
      <c r="C12" s="1" t="s">
        <v>8</v>
      </c>
      <c r="D12" s="1">
        <v>2.0</v>
      </c>
      <c r="E12" s="1" t="s">
        <v>27</v>
      </c>
      <c r="F12" s="1" t="s">
        <v>14</v>
      </c>
      <c r="G12" s="4">
        <f t="array" ref="G12">XLOOKUP(B12,Sheet1!A:A,Sheet1!B:B,"absent des plateformes")</f>
        <v>49</v>
      </c>
    </row>
    <row r="13">
      <c r="A13" s="2" t="s">
        <v>28</v>
      </c>
      <c r="B13" s="3" t="str">
        <f>IFERROR(__xludf.DUMMYFUNCTION("REGEXREPLACE(A13, ""^https?://(www\.)?|/.*"", """")"),"startups-nation.fr")</f>
        <v>startups-nation.fr</v>
      </c>
      <c r="C13" s="1" t="s">
        <v>8</v>
      </c>
      <c r="D13" s="1">
        <v>1.0</v>
      </c>
      <c r="E13" s="1" t="s">
        <v>25</v>
      </c>
      <c r="F13" s="1" t="s">
        <v>10</v>
      </c>
      <c r="G13" s="4">
        <f t="array" ref="G13">XLOOKUP(B13,Sheet1!A:A,Sheet1!B:B,"absent des plateformes")</f>
        <v>49</v>
      </c>
    </row>
    <row r="14">
      <c r="A14" s="2" t="s">
        <v>29</v>
      </c>
      <c r="B14" s="3" t="str">
        <f>IFERROR(__xludf.DUMMYFUNCTION("REGEXREPLACE(A14, ""^https?://(www\.)?|/.*"", """")"),"europe-etiquettes.fr")</f>
        <v>europe-etiquettes.fr</v>
      </c>
      <c r="C14" s="1" t="s">
        <v>8</v>
      </c>
      <c r="D14" s="1">
        <v>1.0</v>
      </c>
      <c r="E14" s="1" t="s">
        <v>23</v>
      </c>
      <c r="F14" s="1" t="s">
        <v>10</v>
      </c>
      <c r="G14" s="4">
        <f t="array" ref="G14">XLOOKUP(B14,Sheet1!A:A,Sheet1!B:B,"absent des plateformes")</f>
        <v>50</v>
      </c>
    </row>
    <row r="15">
      <c r="A15" s="2" t="s">
        <v>30</v>
      </c>
      <c r="B15" s="3" t="str">
        <f>IFERROR(__xludf.DUMMYFUNCTION("REGEXREPLACE(A15, ""^https?://(www\.)?|/.*"", """")"),"net67.fr")</f>
        <v>net67.fr</v>
      </c>
      <c r="C15" s="1" t="s">
        <v>8</v>
      </c>
      <c r="D15" s="1">
        <v>1.0</v>
      </c>
      <c r="E15" s="1" t="s">
        <v>13</v>
      </c>
      <c r="F15" s="1" t="s">
        <v>10</v>
      </c>
      <c r="G15" s="4">
        <f t="array" ref="G15">XLOOKUP(B15,Sheet1!A:A,Sheet1!B:B,"absent des plateformes")</f>
        <v>50</v>
      </c>
    </row>
    <row r="16">
      <c r="A16" s="2" t="s">
        <v>31</v>
      </c>
      <c r="B16" s="3" t="str">
        <f>IFERROR(__xludf.DUMMYFUNCTION("REGEXREPLACE(A16, ""^https?://(www\.)?|/.*"", """")"),"moovement.fr")</f>
        <v>moovement.fr</v>
      </c>
      <c r="C16" s="1" t="s">
        <v>8</v>
      </c>
      <c r="D16" s="1">
        <v>1.0</v>
      </c>
      <c r="E16" s="1" t="s">
        <v>13</v>
      </c>
      <c r="F16" s="1" t="s">
        <v>10</v>
      </c>
      <c r="G16" s="4">
        <f t="array" ref="G16">XLOOKUP(B16,Sheet1!A:A,Sheet1!B:B,"absent des plateformes")</f>
        <v>72</v>
      </c>
    </row>
    <row r="17">
      <c r="A17" s="2" t="s">
        <v>32</v>
      </c>
      <c r="B17" s="3" t="str">
        <f>IFERROR(__xludf.DUMMYFUNCTION("REGEXREPLACE(A17, ""^https?://(www\.)?|/.*"", """")"),"babdp.org")</f>
        <v>babdp.org</v>
      </c>
      <c r="C17" s="1" t="s">
        <v>8</v>
      </c>
      <c r="D17" s="1">
        <v>1.0</v>
      </c>
      <c r="E17" s="1" t="s">
        <v>13</v>
      </c>
      <c r="F17" s="1" t="s">
        <v>10</v>
      </c>
      <c r="G17" s="4">
        <f t="array" ref="G17">XLOOKUP(B17,Sheet1!A:A,Sheet1!B:B,"absent des plateformes")</f>
        <v>80</v>
      </c>
    </row>
    <row r="18">
      <c r="A18" s="2" t="s">
        <v>33</v>
      </c>
      <c r="B18" s="3" t="str">
        <f>IFERROR(__xludf.DUMMYFUNCTION("REGEXREPLACE(A18, ""^https?://(www\.)?|/.*"", """")"),"pardotconsulting.fr")</f>
        <v>pardotconsulting.fr</v>
      </c>
      <c r="C18" s="1" t="s">
        <v>8</v>
      </c>
      <c r="D18" s="1">
        <v>1.0</v>
      </c>
      <c r="E18" s="1" t="s">
        <v>23</v>
      </c>
      <c r="F18" s="1" t="s">
        <v>10</v>
      </c>
      <c r="G18" s="4">
        <f t="array" ref="G18">XLOOKUP(B18,Sheet1!A:A,Sheet1!B:B,"absent des plateformes")</f>
        <v>81</v>
      </c>
    </row>
    <row r="19">
      <c r="A19" s="2" t="s">
        <v>34</v>
      </c>
      <c r="B19" s="3" t="str">
        <f>IFERROR(__xludf.DUMMYFUNCTION("REGEXREPLACE(A19, ""^https?://(www\.)?|/.*"", """")"),"aspekt.fr")</f>
        <v>aspekt.fr</v>
      </c>
      <c r="C19" s="1" t="s">
        <v>8</v>
      </c>
      <c r="D19" s="1">
        <v>1.0</v>
      </c>
      <c r="E19" s="1" t="s">
        <v>35</v>
      </c>
      <c r="F19" s="1" t="s">
        <v>10</v>
      </c>
      <c r="G19" s="4">
        <f t="array" ref="G19">XLOOKUP(B19,Sheet1!A:A,Sheet1!B:B,"absent des plateformes")</f>
        <v>99</v>
      </c>
    </row>
    <row r="20">
      <c r="A20" s="2" t="s">
        <v>36</v>
      </c>
      <c r="B20" s="3" t="str">
        <f>IFERROR(__xludf.DUMMYFUNCTION("REGEXREPLACE(A20, ""^https?://(www\.)?|/.*"", """")"),"cartonrecup.com")</f>
        <v>cartonrecup.com</v>
      </c>
      <c r="C20" s="1" t="s">
        <v>8</v>
      </c>
      <c r="D20" s="1">
        <v>1.0</v>
      </c>
      <c r="E20" s="1" t="s">
        <v>37</v>
      </c>
      <c r="F20" s="1" t="s">
        <v>10</v>
      </c>
      <c r="G20" s="4">
        <f t="array" ref="G20">XLOOKUP(B20,Sheet1!A:A,Sheet1!B:B,"absent des plateformes")</f>
        <v>145</v>
      </c>
    </row>
    <row r="21">
      <c r="A21" s="2" t="s">
        <v>38</v>
      </c>
      <c r="B21" s="3" t="str">
        <f>IFERROR(__xludf.DUMMYFUNCTION("REGEXREPLACE(A21, ""^https?://(www\.)?|/.*"", """")"),"24presse.com")</f>
        <v>24presse.com</v>
      </c>
      <c r="C21" s="1" t="s">
        <v>8</v>
      </c>
      <c r="D21" s="1">
        <v>1.0</v>
      </c>
      <c r="E21" s="1" t="s">
        <v>13</v>
      </c>
      <c r="F21" s="1" t="s">
        <v>10</v>
      </c>
      <c r="G21" s="4">
        <f t="array" ref="G21">XLOOKUP(B21,Sheet1!A:A,Sheet1!B:B,"absent des plateformes")</f>
        <v>195</v>
      </c>
    </row>
    <row r="22">
      <c r="A22" s="2" t="s">
        <v>39</v>
      </c>
      <c r="B22" s="3" t="str">
        <f>IFERROR(__xludf.DUMMYFUNCTION("REGEXREPLACE(A22, ""^https?://(www\.)?|/.*"", """")"),"digitiz.fr")</f>
        <v>digitiz.fr</v>
      </c>
      <c r="C22" s="1" t="s">
        <v>8</v>
      </c>
      <c r="D22" s="1">
        <v>2.0</v>
      </c>
      <c r="E22" s="1" t="s">
        <v>40</v>
      </c>
      <c r="F22" s="1" t="s">
        <v>14</v>
      </c>
      <c r="G22" s="4">
        <f t="array" ref="G22">XLOOKUP(B22,Sheet1!A:A,Sheet1!B:B,"absent des plateformes")</f>
        <v>257</v>
      </c>
    </row>
    <row r="23">
      <c r="A23" s="2" t="s">
        <v>41</v>
      </c>
      <c r="B23" s="3" t="str">
        <f>IFERROR(__xludf.DUMMYFUNCTION("REGEXREPLACE(A23, ""^https?://(www\.)?|/.*"", """")"),"digitiz.fr")</f>
        <v>digitiz.fr</v>
      </c>
      <c r="C23" s="1" t="s">
        <v>8</v>
      </c>
      <c r="D23" s="1">
        <v>2.0</v>
      </c>
      <c r="E23" s="1" t="s">
        <v>25</v>
      </c>
      <c r="F23" s="1" t="s">
        <v>14</v>
      </c>
      <c r="G23" s="4">
        <f t="array" ref="G23">XLOOKUP(B23,Sheet1!A:A,Sheet1!B:B,"absent des plateformes")</f>
        <v>257</v>
      </c>
    </row>
    <row r="24">
      <c r="A24" s="2" t="s">
        <v>42</v>
      </c>
      <c r="B24" s="3" t="str">
        <f>IFERROR(__xludf.DUMMYFUNCTION("REGEXREPLACE(A24, ""^https?://(www\.)?|/.*"", """")"),"digitiz.fr")</f>
        <v>digitiz.fr</v>
      </c>
      <c r="C24" s="1" t="s">
        <v>8</v>
      </c>
      <c r="D24" s="1">
        <v>1.0</v>
      </c>
      <c r="E24" s="1" t="s">
        <v>13</v>
      </c>
      <c r="F24" s="1" t="s">
        <v>14</v>
      </c>
      <c r="G24" s="4">
        <f t="array" ref="G24">XLOOKUP(B24,Sheet1!A:A,Sheet1!B:B,"absent des plateformes")</f>
        <v>257</v>
      </c>
    </row>
    <row r="25">
      <c r="A25" s="2" t="s">
        <v>43</v>
      </c>
      <c r="B25" s="3" t="str">
        <f>IFERROR(__xludf.DUMMYFUNCTION("REGEXREPLACE(A25, ""^https?://(www\.)?|/.*"", """")"),"pme-web.com")</f>
        <v>pme-web.com</v>
      </c>
      <c r="C25" s="1" t="s">
        <v>8</v>
      </c>
      <c r="D25" s="1">
        <v>1.0</v>
      </c>
      <c r="E25" s="1" t="s">
        <v>23</v>
      </c>
      <c r="F25" s="1" t="s">
        <v>10</v>
      </c>
      <c r="G25" s="4">
        <f t="array" ref="G25">XLOOKUP(B25,Sheet1!A:A,Sheet1!B:B,"absent des plateformes")</f>
        <v>374</v>
      </c>
    </row>
    <row r="26">
      <c r="A26" s="2" t="s">
        <v>44</v>
      </c>
      <c r="B26" s="3" t="str">
        <f>IFERROR(__xludf.DUMMYFUNCTION("REGEXREPLACE(A26, ""^https?://(www\.)?|/.*"", """")"),"fr.bepub.com")</f>
        <v>fr.bepub.com</v>
      </c>
      <c r="C26" s="1" t="s">
        <v>8</v>
      </c>
      <c r="D26" s="1">
        <v>2.0</v>
      </c>
      <c r="E26" s="1" t="s">
        <v>13</v>
      </c>
      <c r="F26" s="1" t="s">
        <v>10</v>
      </c>
      <c r="G26" s="4">
        <f t="array" ref="G26">XLOOKUP(B26,Sheet1!A:A,Sheet1!B:B,"absent des plateformes")</f>
        <v>736</v>
      </c>
    </row>
    <row r="27">
      <c r="A27" s="2" t="s">
        <v>45</v>
      </c>
      <c r="B27" s="3" t="str">
        <f>IFERROR(__xludf.DUMMYFUNCTION("REGEXREPLACE(A27, ""^https?://(www\.)?|/.*"", """")"),"europages.fr")</f>
        <v>europages.fr</v>
      </c>
      <c r="C27" s="1" t="s">
        <v>8</v>
      </c>
      <c r="D27" s="1">
        <v>2.0</v>
      </c>
      <c r="E27" s="1" t="s">
        <v>25</v>
      </c>
      <c r="F27" s="1" t="s">
        <v>10</v>
      </c>
      <c r="G27" s="4">
        <f t="array" ref="G27">XLOOKUP(B27,Sheet1!A:A,Sheet1!B:B,"absent des plateformes")</f>
        <v>1054</v>
      </c>
    </row>
    <row r="28">
      <c r="A28" s="2" t="s">
        <v>46</v>
      </c>
      <c r="B28" s="3" t="str">
        <f>IFERROR(__xludf.DUMMYFUNCTION("REGEXREPLACE(A28, ""^https?://(www\.)?|/.*"", """")"),"latribune.fr")</f>
        <v>latribune.fr</v>
      </c>
      <c r="C28" s="1" t="s">
        <v>8</v>
      </c>
      <c r="D28" s="1">
        <v>1.0</v>
      </c>
      <c r="E28" s="1" t="s">
        <v>13</v>
      </c>
      <c r="F28" s="1" t="s">
        <v>10</v>
      </c>
      <c r="G28" s="4">
        <f t="array" ref="G28">XLOOKUP(B28,Sheet1!A:A,Sheet1!B:B,"absent des plateformes")</f>
        <v>1318</v>
      </c>
    </row>
    <row r="29">
      <c r="A29" s="2" t="s">
        <v>47</v>
      </c>
      <c r="B29" s="3" t="str">
        <f>IFERROR(__xludf.DUMMYFUNCTION("REGEXREPLACE(A29, ""^https?://(www\.)?|/.*"", """")"),"lemonde.fr")</f>
        <v>lemonde.fr</v>
      </c>
      <c r="C29" s="1" t="s">
        <v>8</v>
      </c>
      <c r="D29" s="1">
        <v>1.0</v>
      </c>
      <c r="E29" s="1" t="s">
        <v>25</v>
      </c>
      <c r="F29" s="1" t="s">
        <v>10</v>
      </c>
      <c r="G29" s="4">
        <f t="array" ref="G29">XLOOKUP(B29,Sheet1!A:A,Sheet1!B:B,"absent des plateformes")</f>
        <v>12500</v>
      </c>
    </row>
    <row r="30">
      <c r="A30" s="2" t="s">
        <v>48</v>
      </c>
      <c r="B30" s="3" t="str">
        <f>IFERROR(__xludf.DUMMYFUNCTION("REGEXREPLACE(A30, ""^https?://(www\.)?|/.*"", """")"),"easyflyer.fr")</f>
        <v>easyflyer.fr</v>
      </c>
      <c r="C30" s="1" t="s">
        <v>8</v>
      </c>
      <c r="D30" s="1">
        <v>4.0</v>
      </c>
      <c r="E30" s="1" t="s">
        <v>49</v>
      </c>
      <c r="F30" s="1" t="s">
        <v>10</v>
      </c>
      <c r="G30" s="4" t="str">
        <f t="array" ref="G30">XLOOKUP(B30,Sheet1!A:A,Sheet1!B:B,"absent des plateformes")</f>
        <v>absent des plateformes</v>
      </c>
    </row>
    <row r="31">
      <c r="A31" s="2" t="s">
        <v>50</v>
      </c>
      <c r="B31" s="3" t="str">
        <f>IFERROR(__xludf.DUMMYFUNCTION("REGEXREPLACE(A31, ""^https?://(www\.)?|/.*"", """")"),"123imprim.com")</f>
        <v>123imprim.com</v>
      </c>
      <c r="C31" s="1" t="s">
        <v>8</v>
      </c>
      <c r="D31" s="1">
        <v>4.0</v>
      </c>
      <c r="E31" s="1" t="s">
        <v>49</v>
      </c>
      <c r="F31" s="1" t="s">
        <v>10</v>
      </c>
      <c r="G31" s="4" t="str">
        <f t="array" ref="G31">XLOOKUP(B31,Sheet1!A:A,Sheet1!B:B,"absent des plateformes")</f>
        <v>absent des plateformes</v>
      </c>
    </row>
    <row r="32">
      <c r="A32" s="2" t="s">
        <v>51</v>
      </c>
      <c r="B32" s="3" t="str">
        <f>IFERROR(__xludf.DUMMYFUNCTION("REGEXREPLACE(A32, ""^https?://(www\.)?|/.*"", """")"),"papeo.fr")</f>
        <v>papeo.fr</v>
      </c>
      <c r="C32" s="1" t="s">
        <v>8</v>
      </c>
      <c r="D32" s="1">
        <v>4.0</v>
      </c>
      <c r="E32" s="1" t="s">
        <v>49</v>
      </c>
      <c r="F32" s="1" t="s">
        <v>10</v>
      </c>
      <c r="G32" s="4" t="str">
        <f t="array" ref="G32">XLOOKUP(B32,Sheet1!A:A,Sheet1!B:B,"absent des plateformes")</f>
        <v>absent des plateformes</v>
      </c>
    </row>
    <row r="33">
      <c r="A33" s="2" t="s">
        <v>52</v>
      </c>
      <c r="B33" s="3" t="str">
        <f>IFERROR(__xludf.DUMMYFUNCTION("REGEXREPLACE(A33, ""^https?://(www\.)?|/.*"", """")"),"blog.veoprint.com")</f>
        <v>blog.veoprint.com</v>
      </c>
      <c r="C33" s="1" t="s">
        <v>8</v>
      </c>
      <c r="D33" s="1">
        <v>3.0</v>
      </c>
      <c r="E33" s="1" t="s">
        <v>27</v>
      </c>
      <c r="F33" s="1" t="s">
        <v>14</v>
      </c>
      <c r="G33" s="4" t="str">
        <f t="array" ref="G33">XLOOKUP(B33,Sheet1!A:A,Sheet1!B:B,"absent des plateformes")</f>
        <v>absent des plateformes</v>
      </c>
    </row>
    <row r="34">
      <c r="A34" s="2" t="s">
        <v>53</v>
      </c>
      <c r="B34" s="3" t="str">
        <f>IFERROR(__xludf.DUMMYFUNCTION("REGEXREPLACE(A34, ""^https?://(www\.)?|/.*"", """")"),"helloprint.fr")</f>
        <v>helloprint.fr</v>
      </c>
      <c r="C34" s="1" t="s">
        <v>8</v>
      </c>
      <c r="D34" s="1">
        <v>3.0</v>
      </c>
      <c r="E34" s="1" t="s">
        <v>54</v>
      </c>
      <c r="F34" s="1" t="s">
        <v>10</v>
      </c>
      <c r="G34" s="4" t="str">
        <f t="array" ref="G34">XLOOKUP(B34,Sheet1!A:A,Sheet1!B:B,"absent des plateformes")</f>
        <v>absent des plateformes</v>
      </c>
    </row>
    <row r="35">
      <c r="A35" s="2" t="s">
        <v>55</v>
      </c>
      <c r="B35" s="3" t="str">
        <f>IFERROR(__xludf.DUMMYFUNCTION("REGEXREPLACE(A35, ""^https?://(www\.)?|/.*"", """")"),"bagart.fr")</f>
        <v>bagart.fr</v>
      </c>
      <c r="C35" s="1" t="s">
        <v>8</v>
      </c>
      <c r="D35" s="1">
        <v>3.0</v>
      </c>
      <c r="E35" s="1" t="s">
        <v>56</v>
      </c>
      <c r="F35" s="1" t="s">
        <v>10</v>
      </c>
      <c r="G35" s="4" t="str">
        <f t="array" ref="G35">XLOOKUP(B35,Sheet1!A:A,Sheet1!B:B,"absent des plateformes")</f>
        <v>absent des plateformes</v>
      </c>
    </row>
    <row r="36">
      <c r="A36" s="2" t="s">
        <v>57</v>
      </c>
      <c r="B36" s="3" t="str">
        <f>IFERROR(__xludf.DUMMYFUNCTION("REGEXREPLACE(A36, ""^https?://(www\.)?|/.*"", """")"),"imprimeurs.nosavis.com")</f>
        <v>imprimeurs.nosavis.com</v>
      </c>
      <c r="C36" s="1" t="s">
        <v>8</v>
      </c>
      <c r="D36" s="1">
        <v>3.0</v>
      </c>
      <c r="E36" s="1" t="s">
        <v>25</v>
      </c>
      <c r="F36" s="1" t="s">
        <v>10</v>
      </c>
      <c r="G36" s="4" t="str">
        <f t="array" ref="G36">XLOOKUP(B36,Sheet1!A:A,Sheet1!B:B,"absent des plateformes")</f>
        <v>absent des plateformes</v>
      </c>
    </row>
    <row r="37">
      <c r="A37" s="2" t="s">
        <v>58</v>
      </c>
      <c r="B37" s="3" t="str">
        <f>IFERROR(__xludf.DUMMYFUNCTION("REGEXREPLACE(A37, ""^https?://(www\.)?|/.*"", """")"),"blog.copees.com")</f>
        <v>blog.copees.com</v>
      </c>
      <c r="C37" s="1" t="s">
        <v>8</v>
      </c>
      <c r="D37" s="1">
        <v>3.0</v>
      </c>
      <c r="E37" s="1" t="s">
        <v>13</v>
      </c>
      <c r="F37" s="1" t="s">
        <v>10</v>
      </c>
      <c r="G37" s="4" t="str">
        <f t="array" ref="G37">XLOOKUP(B37,Sheet1!A:A,Sheet1!B:B,"absent des plateformes")</f>
        <v>absent des plateformes</v>
      </c>
    </row>
    <row r="38">
      <c r="A38" s="2" t="s">
        <v>59</v>
      </c>
      <c r="B38" s="3" t="str">
        <f>IFERROR(__xludf.DUMMYFUNCTION("REGEXREPLACE(A38, ""^https?://(www\.)?|/.*"", """")"),"blog.copees.com")</f>
        <v>blog.copees.com</v>
      </c>
      <c r="C38" s="1" t="s">
        <v>8</v>
      </c>
      <c r="D38" s="1">
        <v>3.0</v>
      </c>
      <c r="E38" s="1" t="s">
        <v>25</v>
      </c>
      <c r="F38" s="1" t="s">
        <v>10</v>
      </c>
      <c r="G38" s="4" t="str">
        <f t="array" ref="G38">XLOOKUP(B38,Sheet1!A:A,Sheet1!B:B,"absent des plateformes")</f>
        <v>absent des plateformes</v>
      </c>
    </row>
    <row r="39">
      <c r="A39" s="2" t="s">
        <v>60</v>
      </c>
      <c r="B39" s="3" t="str">
        <f>IFERROR(__xludf.DUMMYFUNCTION("REGEXREPLACE(A39, ""^https?://(www\.)?|/.*"", """")"),"blog.copees.com")</f>
        <v>blog.copees.com</v>
      </c>
      <c r="C39" s="1" t="s">
        <v>8</v>
      </c>
      <c r="D39" s="1">
        <v>3.0</v>
      </c>
      <c r="E39" s="1" t="s">
        <v>25</v>
      </c>
      <c r="F39" s="1" t="s">
        <v>10</v>
      </c>
      <c r="G39" s="4" t="str">
        <f t="array" ref="G39">XLOOKUP(B39,Sheet1!A:A,Sheet1!B:B,"absent des plateformes")</f>
        <v>absent des plateformes</v>
      </c>
    </row>
    <row r="40">
      <c r="A40" s="2" t="s">
        <v>61</v>
      </c>
      <c r="B40" s="3" t="str">
        <f>IFERROR(__xludf.DUMMYFUNCTION("REGEXREPLACE(A40, ""^https?://(www\.)?|/.*"", """")"),"fr.wikipedia.org")</f>
        <v>fr.wikipedia.org</v>
      </c>
      <c r="C40" s="1" t="s">
        <v>8</v>
      </c>
      <c r="D40" s="1">
        <v>3.0</v>
      </c>
      <c r="E40" s="1" t="s">
        <v>25</v>
      </c>
      <c r="F40" s="1" t="s">
        <v>10</v>
      </c>
      <c r="G40" s="4" t="str">
        <f t="array" ref="G40">XLOOKUP(B40,Sheet1!A:A,Sheet1!B:B,"absent des plateformes")</f>
        <v>absent des plateformes</v>
      </c>
    </row>
    <row r="41">
      <c r="A41" s="2" t="s">
        <v>62</v>
      </c>
      <c r="B41" s="3" t="str">
        <f>IFERROR(__xludf.DUMMYFUNCTION("REGEXREPLACE(A41, ""^https?://(www\.)?|/.*"", """")"),"fr.wikipedia.org")</f>
        <v>fr.wikipedia.org</v>
      </c>
      <c r="C41" s="1" t="s">
        <v>8</v>
      </c>
      <c r="D41" s="1">
        <v>3.0</v>
      </c>
      <c r="E41" s="1" t="s">
        <v>25</v>
      </c>
      <c r="F41" s="1" t="s">
        <v>10</v>
      </c>
      <c r="G41" s="4" t="str">
        <f t="array" ref="G41">XLOOKUP(B41,Sheet1!A:A,Sheet1!B:B,"absent des plateformes")</f>
        <v>absent des plateformes</v>
      </c>
    </row>
    <row r="42">
      <c r="A42" s="2" t="s">
        <v>63</v>
      </c>
      <c r="B42" s="3" t="str">
        <f>IFERROR(__xludf.DUMMYFUNCTION("REGEXREPLACE(A42, ""^https?://(www\.)?|/.*"", """")"),"fr.wikipedia.org")</f>
        <v>fr.wikipedia.org</v>
      </c>
      <c r="C42" s="1" t="s">
        <v>8</v>
      </c>
      <c r="D42" s="1">
        <v>3.0</v>
      </c>
      <c r="E42" s="1" t="s">
        <v>25</v>
      </c>
      <c r="F42" s="1" t="s">
        <v>10</v>
      </c>
      <c r="G42" s="4" t="str">
        <f t="array" ref="G42">XLOOKUP(B42,Sheet1!A:A,Sheet1!B:B,"absent des plateformes")</f>
        <v>absent des plateformes</v>
      </c>
    </row>
    <row r="43">
      <c r="A43" s="2" t="s">
        <v>64</v>
      </c>
      <c r="B43" s="3" t="str">
        <f>IFERROR(__xludf.DUMMYFUNCTION("REGEXREPLACE(A43, ""^https?://(www\.)?|/.*"", """")"),"dynamiz.fr")</f>
        <v>dynamiz.fr</v>
      </c>
      <c r="C43" s="1" t="s">
        <v>8</v>
      </c>
      <c r="D43" s="1">
        <v>3.0</v>
      </c>
      <c r="E43" s="1" t="s">
        <v>54</v>
      </c>
      <c r="F43" s="1" t="s">
        <v>10</v>
      </c>
      <c r="G43" s="4" t="str">
        <f t="array" ref="G43">XLOOKUP(B43,Sheet1!A:A,Sheet1!B:B,"absent des plateformes")</f>
        <v>absent des plateformes</v>
      </c>
    </row>
    <row r="44">
      <c r="A44" s="2" t="s">
        <v>65</v>
      </c>
      <c r="B44" s="3" t="str">
        <f>IFERROR(__xludf.DUMMYFUNCTION("REGEXREPLACE(A44, ""^https?://(www\.)?|/.*"", """")"),"realisaprint.com")</f>
        <v>realisaprint.com</v>
      </c>
      <c r="C44" s="1" t="s">
        <v>8</v>
      </c>
      <c r="D44" s="1">
        <v>2.0</v>
      </c>
      <c r="E44" s="1" t="s">
        <v>27</v>
      </c>
      <c r="F44" s="1" t="s">
        <v>10</v>
      </c>
      <c r="G44" s="4" t="str">
        <f t="array" ref="G44">XLOOKUP(B44,Sheet1!A:A,Sheet1!B:B,"absent des plateformes")</f>
        <v>absent des plateformes</v>
      </c>
    </row>
    <row r="45">
      <c r="A45" s="2" t="s">
        <v>66</v>
      </c>
      <c r="B45" s="3" t="str">
        <f>IFERROR(__xludf.DUMMYFUNCTION("REGEXREPLACE(A45, ""^https?://(www\.)?|/.*"", """")"),"realisaprint.com")</f>
        <v>realisaprint.com</v>
      </c>
      <c r="C45" s="1" t="s">
        <v>8</v>
      </c>
      <c r="D45" s="1">
        <v>2.0</v>
      </c>
      <c r="E45" s="1" t="s">
        <v>27</v>
      </c>
      <c r="F45" s="1" t="s">
        <v>10</v>
      </c>
      <c r="G45" s="4" t="str">
        <f t="array" ref="G45">XLOOKUP(B45,Sheet1!A:A,Sheet1!B:B,"absent des plateformes")</f>
        <v>absent des plateformes</v>
      </c>
    </row>
    <row r="46">
      <c r="A46" s="2" t="s">
        <v>67</v>
      </c>
      <c r="B46" s="6" t="str">
        <f>IFERROR(__xludf.DUMMYFUNCTION("REGEXREPLACE(A46, ""^https?://(www\.)?|/.*"", """")"),"eoz.eu")</f>
        <v>eoz.eu</v>
      </c>
      <c r="C46" s="1" t="s">
        <v>8</v>
      </c>
      <c r="D46" s="1">
        <v>2.0</v>
      </c>
      <c r="E46" s="1" t="s">
        <v>27</v>
      </c>
      <c r="F46" s="1" t="s">
        <v>10</v>
      </c>
      <c r="G46" s="4" t="str">
        <f t="array" ref="G46">XLOOKUP(B46,Sheet1!A:A,Sheet1!B:B,"absent des plateformes")</f>
        <v>absent des plateformes</v>
      </c>
    </row>
    <row r="47">
      <c r="A47" s="5" t="s">
        <v>68</v>
      </c>
      <c r="B47" s="3" t="str">
        <f>IFERROR(__xludf.DUMMYFUNCTION("REGEXREPLACE(A47, ""^https?://(www\.)?|/.*"", """")"),"graphixia.fr")</f>
        <v>graphixia.fr</v>
      </c>
      <c r="C47" s="1" t="s">
        <v>8</v>
      </c>
      <c r="D47" s="1">
        <v>2.0</v>
      </c>
      <c r="E47" s="1" t="s">
        <v>69</v>
      </c>
      <c r="F47" s="1" t="s">
        <v>10</v>
      </c>
      <c r="G47" s="4" t="str">
        <f t="array" ref="G47">XLOOKUP(B47,Sheet1!A:A,Sheet1!B:B,"absent des plateformes")</f>
        <v>absent des plateformes</v>
      </c>
    </row>
    <row r="48">
      <c r="A48" s="2" t="s">
        <v>70</v>
      </c>
      <c r="B48" s="3" t="str">
        <f>IFERROR(__xludf.DUMMYFUNCTION("REGEXREPLACE(A48, ""^https?://(www\.)?|/.*"", """")"),"veoprint.com")</f>
        <v>veoprint.com</v>
      </c>
      <c r="C48" s="1" t="s">
        <v>8</v>
      </c>
      <c r="D48" s="1">
        <v>2.0</v>
      </c>
      <c r="E48" s="1" t="s">
        <v>27</v>
      </c>
      <c r="F48" s="1" t="s">
        <v>14</v>
      </c>
      <c r="G48" s="4" t="str">
        <f t="array" ref="G48">XLOOKUP(B48,Sheet1!A:A,Sheet1!B:B,"absent des plateformes")</f>
        <v>absent des plateformes</v>
      </c>
    </row>
    <row r="49">
      <c r="A49" s="2" t="s">
        <v>71</v>
      </c>
      <c r="B49" s="3" t="str">
        <f>IFERROR(__xludf.DUMMYFUNCTION("REGEXREPLACE(A49, ""^https?://(www\.)?|/.*"", """")"),"impression-durable.fr")</f>
        <v>impression-durable.fr</v>
      </c>
      <c r="C49" s="1" t="s">
        <v>8</v>
      </c>
      <c r="D49" s="1">
        <v>2.0</v>
      </c>
      <c r="E49" s="1" t="s">
        <v>13</v>
      </c>
      <c r="F49" s="1" t="s">
        <v>10</v>
      </c>
      <c r="G49" s="4" t="str">
        <f t="array" ref="G49">XLOOKUP(B49,Sheet1!A:A,Sheet1!B:B,"absent des plateformes")</f>
        <v>absent des plateformes</v>
      </c>
    </row>
    <row r="50">
      <c r="A50" s="2" t="s">
        <v>72</v>
      </c>
      <c r="B50" s="3" t="str">
        <f>IFERROR(__xludf.DUMMYFUNCTION("REGEXREPLACE(A50, ""^https?://(www\.)?|/.*"", """")"),"printoclock.com")</f>
        <v>printoclock.com</v>
      </c>
      <c r="C50" s="1" t="s">
        <v>8</v>
      </c>
      <c r="D50" s="1">
        <v>2.0</v>
      </c>
      <c r="E50" s="1" t="s">
        <v>13</v>
      </c>
      <c r="F50" s="1" t="s">
        <v>10</v>
      </c>
      <c r="G50" s="4" t="str">
        <f t="array" ref="G50">XLOOKUP(B50,Sheet1!A:A,Sheet1!B:B,"absent des plateformes")</f>
        <v>absent des plateformes</v>
      </c>
    </row>
    <row r="51">
      <c r="A51" s="2" t="s">
        <v>73</v>
      </c>
      <c r="B51" s="3" t="str">
        <f>IFERROR(__xludf.DUMMYFUNCTION("REGEXREPLACE(A51, ""^https?://(www\.)?|/.*"", """")"),"fluoo.com")</f>
        <v>fluoo.com</v>
      </c>
      <c r="C51" s="1" t="s">
        <v>8</v>
      </c>
      <c r="D51" s="1">
        <v>2.0</v>
      </c>
      <c r="E51" s="1" t="s">
        <v>49</v>
      </c>
      <c r="F51" s="1" t="s">
        <v>10</v>
      </c>
      <c r="G51" s="4" t="str">
        <f t="array" ref="G51">XLOOKUP(B51,Sheet1!A:A,Sheet1!B:B,"absent des plateformes")</f>
        <v>absent des plateformes</v>
      </c>
    </row>
    <row r="52">
      <c r="A52" s="2" t="s">
        <v>74</v>
      </c>
      <c r="B52" s="3" t="str">
        <f>IFERROR(__xludf.DUMMYFUNCTION("REGEXREPLACE(A52, ""^https?://(www\.)?|/.*"", """")"),"reflexprinting.fr")</f>
        <v>reflexprinting.fr</v>
      </c>
      <c r="C52" s="1" t="s">
        <v>8</v>
      </c>
      <c r="D52" s="1">
        <v>2.0</v>
      </c>
      <c r="E52" s="1" t="s">
        <v>27</v>
      </c>
      <c r="F52" s="1" t="s">
        <v>10</v>
      </c>
      <c r="G52" s="4" t="str">
        <f t="array" ref="G52">XLOOKUP(B52,Sheet1!A:A,Sheet1!B:B,"absent des plateformes")</f>
        <v>absent des plateformes</v>
      </c>
    </row>
    <row r="53">
      <c r="A53" s="2" t="s">
        <v>75</v>
      </c>
      <c r="B53" s="3" t="str">
        <f>IFERROR(__xludf.DUMMYFUNCTION("REGEXREPLACE(A53, ""^https?://(www\.)?|/.*"", """")"),"imprimeur-en-ligne.fr")</f>
        <v>imprimeur-en-ligne.fr</v>
      </c>
      <c r="C53" s="1" t="s">
        <v>8</v>
      </c>
      <c r="D53" s="1">
        <v>2.0</v>
      </c>
      <c r="E53" s="1" t="s">
        <v>49</v>
      </c>
      <c r="F53" s="1" t="s">
        <v>10</v>
      </c>
      <c r="G53" s="4" t="str">
        <f t="array" ref="G53">XLOOKUP(B53,Sheet1!A:A,Sheet1!B:B,"absent des plateformes")</f>
        <v>absent des plateformes</v>
      </c>
    </row>
    <row r="54">
      <c r="A54" s="2" t="s">
        <v>76</v>
      </c>
      <c r="B54" s="3" t="str">
        <f>IFERROR(__xludf.DUMMYFUNCTION("REGEXREPLACE(A54, ""^https?://(www\.)?|/.*"", """")"),"lesgrandesimprimeries.com")</f>
        <v>lesgrandesimprimeries.com</v>
      </c>
      <c r="C54" s="1" t="s">
        <v>8</v>
      </c>
      <c r="D54" s="1">
        <v>2.0</v>
      </c>
      <c r="E54" s="1" t="s">
        <v>49</v>
      </c>
      <c r="F54" s="1" t="s">
        <v>10</v>
      </c>
      <c r="G54" s="4" t="str">
        <f t="array" ref="G54">XLOOKUP(B54,Sheet1!A:A,Sheet1!B:B,"absent des plateformes")</f>
        <v>absent des plateformes</v>
      </c>
    </row>
    <row r="55">
      <c r="A55" s="2" t="s">
        <v>77</v>
      </c>
      <c r="B55" s="3" t="str">
        <f>IFERROR(__xludf.DUMMYFUNCTION("REGEXREPLACE(A55, ""^https?://(www\.)?|/.*"", """")"),"fashiontiy.com")</f>
        <v>fashiontiy.com</v>
      </c>
      <c r="C55" s="1" t="s">
        <v>8</v>
      </c>
      <c r="D55" s="1">
        <v>2.0</v>
      </c>
      <c r="E55" s="1" t="s">
        <v>54</v>
      </c>
      <c r="F55" s="1" t="s">
        <v>10</v>
      </c>
      <c r="G55" s="4" t="str">
        <f t="array" ref="G55">XLOOKUP(B55,Sheet1!A:A,Sheet1!B:B,"absent des plateformes")</f>
        <v>absent des plateformes</v>
      </c>
    </row>
    <row r="56">
      <c r="A56" s="2" t="s">
        <v>78</v>
      </c>
      <c r="B56" s="3" t="str">
        <f>IFERROR(__xludf.DUMMYFUNCTION("REGEXREPLACE(A56, ""^https?://(www\.)?|/.*"", """")"),"objectile.fr")</f>
        <v>objectile.fr</v>
      </c>
      <c r="C56" s="1" t="s">
        <v>8</v>
      </c>
      <c r="D56" s="1">
        <v>2.0</v>
      </c>
      <c r="E56" s="1" t="s">
        <v>54</v>
      </c>
      <c r="F56" s="1" t="s">
        <v>10</v>
      </c>
      <c r="G56" s="4" t="str">
        <f t="array" ref="G56">XLOOKUP(B56,Sheet1!A:A,Sheet1!B:B,"absent des plateformes")</f>
        <v>absent des plateformes</v>
      </c>
    </row>
    <row r="57">
      <c r="A57" s="2" t="s">
        <v>79</v>
      </c>
      <c r="B57" s="3" t="str">
        <f>IFERROR(__xludf.DUMMYFUNCTION("REGEXREPLACE(A57, ""^https?://(www\.)?|/.*"", """")"),"shop.katanga.fr")</f>
        <v>shop.katanga.fr</v>
      </c>
      <c r="C57" s="1" t="s">
        <v>8</v>
      </c>
      <c r="D57" s="1">
        <v>2.0</v>
      </c>
      <c r="E57" s="1" t="s">
        <v>54</v>
      </c>
      <c r="F57" s="1" t="s">
        <v>10</v>
      </c>
      <c r="G57" s="4" t="str">
        <f t="array" ref="G57">XLOOKUP(B57,Sheet1!A:A,Sheet1!B:B,"absent des plateformes")</f>
        <v>absent des plateformes</v>
      </c>
    </row>
    <row r="58">
      <c r="A58" s="2" t="s">
        <v>80</v>
      </c>
      <c r="B58" s="3" t="str">
        <f>IFERROR(__xludf.DUMMYFUNCTION("REGEXREPLACE(A58, ""^https?://(www\.)?|/.*"", """")"),"stylo-france.fr")</f>
        <v>stylo-france.fr</v>
      </c>
      <c r="C58" s="1" t="s">
        <v>8</v>
      </c>
      <c r="D58" s="1">
        <v>2.0</v>
      </c>
      <c r="E58" s="1" t="s">
        <v>54</v>
      </c>
      <c r="F58" s="1" t="s">
        <v>10</v>
      </c>
      <c r="G58" s="4" t="str">
        <f t="array" ref="G58">XLOOKUP(B58,Sheet1!A:A,Sheet1!B:B,"absent des plateformes")</f>
        <v>absent des plateformes</v>
      </c>
    </row>
    <row r="59">
      <c r="A59" s="2" t="s">
        <v>81</v>
      </c>
      <c r="B59" s="3" t="str">
        <f>IFERROR(__xludf.DUMMYFUNCTION("REGEXREPLACE(A59, ""^https?://(www\.)?|/.*"", """")"),"monimprimeurfrancais.com")</f>
        <v>monimprimeurfrancais.com</v>
      </c>
      <c r="C59" s="1" t="s">
        <v>8</v>
      </c>
      <c r="D59" s="1">
        <v>2.0</v>
      </c>
      <c r="E59" s="1" t="s">
        <v>25</v>
      </c>
      <c r="F59" s="1" t="s">
        <v>10</v>
      </c>
      <c r="G59" s="4" t="str">
        <f t="array" ref="G59">XLOOKUP(B59,Sheet1!A:A,Sheet1!B:B,"absent des plateformes")</f>
        <v>absent des plateformes</v>
      </c>
    </row>
    <row r="60">
      <c r="A60" s="2" t="s">
        <v>82</v>
      </c>
      <c r="B60" s="3" t="str">
        <f>IFERROR(__xludf.DUMMYFUNCTION("REGEXREPLACE(A60, ""^https?://(www\.)?|/.*"", """")"),"blog.copees.com")</f>
        <v>blog.copees.com</v>
      </c>
      <c r="C60" s="1" t="s">
        <v>8</v>
      </c>
      <c r="D60" s="1">
        <v>2.0</v>
      </c>
      <c r="E60" s="1" t="s">
        <v>25</v>
      </c>
      <c r="F60" s="1" t="s">
        <v>10</v>
      </c>
      <c r="G60" s="4" t="str">
        <f t="array" ref="G60">XLOOKUP(B60,Sheet1!A:A,Sheet1!B:B,"absent des plateformes")</f>
        <v>absent des plateformes</v>
      </c>
    </row>
    <row r="61">
      <c r="A61" s="2" t="s">
        <v>83</v>
      </c>
      <c r="B61" s="3" t="str">
        <f>IFERROR(__xludf.DUMMYFUNCTION("REGEXREPLACE(A61, ""^https?://(www\.)?|/.*"", """")"),"impression-expert.fr")</f>
        <v>impression-expert.fr</v>
      </c>
      <c r="C61" s="1" t="s">
        <v>8</v>
      </c>
      <c r="D61" s="1">
        <v>2.0</v>
      </c>
      <c r="E61" s="1" t="s">
        <v>25</v>
      </c>
      <c r="F61" s="1" t="s">
        <v>10</v>
      </c>
      <c r="G61" s="4" t="str">
        <f t="array" ref="G61">XLOOKUP(B61,Sheet1!A:A,Sheet1!B:B,"absent des plateformes")</f>
        <v>absent des plateformes</v>
      </c>
    </row>
    <row r="62">
      <c r="A62" s="2" t="s">
        <v>84</v>
      </c>
      <c r="B62" s="3" t="str">
        <f>IFERROR(__xludf.DUMMYFUNCTION("REGEXREPLACE(A62, ""^https?://(www\.)?|/.*"", """")"),"fr.wikipedia.org")</f>
        <v>fr.wikipedia.org</v>
      </c>
      <c r="C62" s="1" t="s">
        <v>8</v>
      </c>
      <c r="D62" s="1">
        <v>2.0</v>
      </c>
      <c r="E62" s="1" t="s">
        <v>25</v>
      </c>
      <c r="F62" s="1" t="s">
        <v>10</v>
      </c>
      <c r="G62" s="4" t="str">
        <f t="array" ref="G62">XLOOKUP(B62,Sheet1!A:A,Sheet1!B:B,"absent des plateformes")</f>
        <v>absent des plateformes</v>
      </c>
    </row>
    <row r="63">
      <c r="A63" s="2" t="s">
        <v>85</v>
      </c>
      <c r="B63" s="3" t="str">
        <f>IFERROR(__xludf.DUMMYFUNCTION("REGEXREPLACE(A63, ""^https?://(www\.)?|/.*"", """")"),"fr.trustpilot.com")</f>
        <v>fr.trustpilot.com</v>
      </c>
      <c r="C63" s="1" t="s">
        <v>8</v>
      </c>
      <c r="D63" s="1">
        <v>2.0</v>
      </c>
      <c r="E63" s="1" t="s">
        <v>25</v>
      </c>
      <c r="F63" s="1" t="s">
        <v>10</v>
      </c>
      <c r="G63" s="4" t="str">
        <f t="array" ref="G63">XLOOKUP(B63,Sheet1!A:A,Sheet1!B:B,"absent des plateformes")</f>
        <v>absent des plateformes</v>
      </c>
    </row>
    <row r="64">
      <c r="A64" s="2" t="s">
        <v>86</v>
      </c>
      <c r="B64" s="3" t="str">
        <f>IFERROR(__xludf.DUMMYFUNCTION("REGEXREPLACE(A64, ""^https?://(www\.)?|/.*"", """")"),"objetrama.fr")</f>
        <v>objetrama.fr</v>
      </c>
      <c r="C64" s="1" t="s">
        <v>8</v>
      </c>
      <c r="D64" s="1">
        <v>2.0</v>
      </c>
      <c r="E64" s="1" t="s">
        <v>54</v>
      </c>
      <c r="F64" s="1" t="s">
        <v>10</v>
      </c>
      <c r="G64" s="4" t="str">
        <f t="array" ref="G64">XLOOKUP(B64,Sheet1!A:A,Sheet1!B:B,"absent des plateformes")</f>
        <v>absent des plateformes</v>
      </c>
    </row>
    <row r="65">
      <c r="A65" s="2" t="s">
        <v>87</v>
      </c>
      <c r="B65" s="3" t="str">
        <f>IFERROR(__xludf.DUMMYFUNCTION("REGEXREPLACE(A65, ""^https?://(www\.)?|/.*"", """")"),"objetrama.fr")</f>
        <v>objetrama.fr</v>
      </c>
      <c r="C65" s="1" t="s">
        <v>8</v>
      </c>
      <c r="D65" s="1">
        <v>2.0</v>
      </c>
      <c r="E65" s="1" t="s">
        <v>54</v>
      </c>
      <c r="F65" s="1" t="s">
        <v>10</v>
      </c>
      <c r="G65" s="4" t="str">
        <f t="array" ref="G65">XLOOKUP(B65,Sheet1!A:A,Sheet1!B:B,"absent des plateformes")</f>
        <v>absent des plateformes</v>
      </c>
    </row>
    <row r="66">
      <c r="A66" s="2" t="s">
        <v>88</v>
      </c>
      <c r="B66" s="3" t="str">
        <f>IFERROR(__xludf.DUMMYFUNCTION("REGEXREPLACE(A66, ""^https?://(www\.)?|/.*"", """")"),"e-goodies.fr")</f>
        <v>e-goodies.fr</v>
      </c>
      <c r="C66" s="1" t="s">
        <v>8</v>
      </c>
      <c r="D66" s="1">
        <v>2.0</v>
      </c>
      <c r="E66" s="1" t="s">
        <v>89</v>
      </c>
      <c r="F66" s="1" t="s">
        <v>10</v>
      </c>
      <c r="G66" s="4" t="str">
        <f t="array" ref="G66">XLOOKUP(B66,Sheet1!A:A,Sheet1!B:B,"absent des plateformes")</f>
        <v>absent des plateformes</v>
      </c>
    </row>
    <row r="67">
      <c r="A67" s="2" t="s">
        <v>90</v>
      </c>
      <c r="B67" s="3" t="str">
        <f>IFERROR(__xludf.DUMMYFUNCTION("REGEXREPLACE(A67, ""^https?://(www\.)?|/.*"", """")"),"pubandgifts.fr")</f>
        <v>pubandgifts.fr</v>
      </c>
      <c r="C67" s="1" t="s">
        <v>8</v>
      </c>
      <c r="D67" s="1">
        <v>2.0</v>
      </c>
      <c r="E67" s="1" t="s">
        <v>89</v>
      </c>
      <c r="F67" s="1" t="s">
        <v>10</v>
      </c>
      <c r="G67" s="4" t="str">
        <f t="array" ref="G67">XLOOKUP(B67,Sheet1!A:A,Sheet1!B:B,"absent des plateformes")</f>
        <v>absent des plateformes</v>
      </c>
    </row>
    <row r="68">
      <c r="A68" s="2" t="s">
        <v>91</v>
      </c>
      <c r="B68" s="3" t="str">
        <f>IFERROR(__xludf.DUMMYFUNCTION("REGEXREPLACE(A68, ""^https?://(www\.)?|/.*"", """")"),"avis-printoclock.com")</f>
        <v>avis-printoclock.com</v>
      </c>
      <c r="C68" s="1" t="s">
        <v>8</v>
      </c>
      <c r="D68" s="1">
        <v>1.0</v>
      </c>
      <c r="E68" s="1" t="s">
        <v>13</v>
      </c>
      <c r="F68" s="1" t="s">
        <v>10</v>
      </c>
      <c r="G68" s="4" t="str">
        <f t="array" ref="G68">XLOOKUP(B68,Sheet1!A:A,Sheet1!B:B,"absent des plateformes")</f>
        <v>absent des plateformes</v>
      </c>
    </row>
    <row r="69">
      <c r="A69" s="2" t="s">
        <v>92</v>
      </c>
      <c r="B69" s="3" t="str">
        <f>IFERROR(__xludf.DUMMYFUNCTION("REGEXREPLACE(A69, ""^https?://(www\.)?|/.*"", """")"),"poulpeo.com")</f>
        <v>poulpeo.com</v>
      </c>
      <c r="C69" s="1" t="s">
        <v>8</v>
      </c>
      <c r="D69" s="1">
        <v>1.0</v>
      </c>
      <c r="E69" s="1" t="s">
        <v>13</v>
      </c>
      <c r="F69" s="1" t="s">
        <v>10</v>
      </c>
      <c r="G69" s="4" t="str">
        <f t="array" ref="G69">XLOOKUP(B69,Sheet1!A:A,Sheet1!B:B,"absent des plateformes")</f>
        <v>absent des plateformes</v>
      </c>
    </row>
    <row r="70">
      <c r="A70" s="2" t="s">
        <v>93</v>
      </c>
      <c r="B70" s="3" t="str">
        <f>IFERROR(__xludf.DUMMYFUNCTION("REGEXREPLACE(A70, ""^https?://(www\.)?|/.*"", """")"),"toulouse.latribune.fr")</f>
        <v>toulouse.latribune.fr</v>
      </c>
      <c r="C70" s="1" t="s">
        <v>8</v>
      </c>
      <c r="D70" s="1">
        <v>1.0</v>
      </c>
      <c r="E70" s="1" t="s">
        <v>13</v>
      </c>
      <c r="F70" s="1" t="s">
        <v>10</v>
      </c>
      <c r="G70" s="4" t="str">
        <f t="array" ref="G70">XLOOKUP(B70,Sheet1!A:A,Sheet1!B:B,"absent des plateformes")</f>
        <v>absent des plateformes</v>
      </c>
    </row>
    <row r="71">
      <c r="A71" s="2" t="s">
        <v>94</v>
      </c>
      <c r="B71" s="3" t="str">
        <f>IFERROR(__xludf.DUMMYFUNCTION("REGEXREPLACE(A71, ""^https?://(www\.)?|/.*"", """")"),"uk.trustpilot.com")</f>
        <v>uk.trustpilot.com</v>
      </c>
      <c r="C71" s="1" t="s">
        <v>8</v>
      </c>
      <c r="D71" s="1">
        <v>1.0</v>
      </c>
      <c r="E71" s="1" t="s">
        <v>13</v>
      </c>
      <c r="F71" s="1" t="s">
        <v>10</v>
      </c>
      <c r="G71" s="4" t="str">
        <f t="array" ref="G71">XLOOKUP(B71,Sheet1!A:A,Sheet1!B:B,"absent des plateformes")</f>
        <v>absent des plateformes</v>
      </c>
    </row>
    <row r="72">
      <c r="A72" s="2" t="s">
        <v>95</v>
      </c>
      <c r="B72" s="3" t="str">
        <f>IFERROR(__xludf.DUMMYFUNCTION("REGEXREPLACE(A72, ""^https?://(www\.)?|/.*"", """")"),"avismalin.com")</f>
        <v>avismalin.com</v>
      </c>
      <c r="C72" s="1" t="s">
        <v>8</v>
      </c>
      <c r="D72" s="1">
        <v>1.0</v>
      </c>
      <c r="E72" s="1" t="s">
        <v>25</v>
      </c>
      <c r="F72" s="1" t="s">
        <v>10</v>
      </c>
      <c r="G72" s="4" t="str">
        <f t="array" ref="G72">XLOOKUP(B72,Sheet1!A:A,Sheet1!B:B,"absent des plateformes")</f>
        <v>absent des plateformes</v>
      </c>
    </row>
    <row r="73">
      <c r="A73" s="2" t="s">
        <v>96</v>
      </c>
      <c r="B73" s="3" t="str">
        <f>IFERROR(__xludf.DUMMYFUNCTION("REGEXREPLACE(A73, ""^https?://(www\.)?|/.*"", """")"),"hello-conso.info")</f>
        <v>hello-conso.info</v>
      </c>
      <c r="C73" s="1" t="s">
        <v>8</v>
      </c>
      <c r="D73" s="1">
        <v>1.0</v>
      </c>
      <c r="E73" s="1" t="s">
        <v>25</v>
      </c>
      <c r="F73" s="1" t="s">
        <v>10</v>
      </c>
      <c r="G73" s="4" t="str">
        <f t="array" ref="G73">XLOOKUP(B73,Sheet1!A:A,Sheet1!B:B,"absent des plateformes")</f>
        <v>absent des plateformes</v>
      </c>
    </row>
    <row r="74">
      <c r="A74" s="2" t="s">
        <v>97</v>
      </c>
      <c r="B74" s="3" t="str">
        <f>IFERROR(__xludf.DUMMYFUNCTION("REGEXREPLACE(A74, ""^https?://(www\.)?|/.*"", """")"),"plus-que-pro.fr")</f>
        <v>plus-que-pro.fr</v>
      </c>
      <c r="C74" s="1" t="s">
        <v>8</v>
      </c>
      <c r="D74" s="1">
        <v>1.0</v>
      </c>
      <c r="E74" s="1" t="s">
        <v>25</v>
      </c>
      <c r="F74" s="1" t="s">
        <v>10</v>
      </c>
      <c r="G74" s="4" t="str">
        <f t="array" ref="G74">XLOOKUP(B74,Sheet1!A:A,Sheet1!B:B,"absent des plateformes")</f>
        <v>absent des plateformes</v>
      </c>
    </row>
    <row r="75">
      <c r="A75" s="2" t="s">
        <v>98</v>
      </c>
      <c r="B75" s="3" t="str">
        <f>IFERROR(__xludf.DUMMYFUNCTION("REGEXREPLACE(A75, ""^https?://(www\.)?|/.*"", """")"),"topexpo.fr")</f>
        <v>topexpo.fr</v>
      </c>
      <c r="C75" s="1" t="s">
        <v>8</v>
      </c>
      <c r="D75" s="1">
        <v>1.0</v>
      </c>
      <c r="E75" s="1" t="s">
        <v>23</v>
      </c>
      <c r="F75" s="1" t="s">
        <v>10</v>
      </c>
      <c r="G75" s="4" t="str">
        <f t="array" ref="G75">XLOOKUP(B75,Sheet1!A:A,Sheet1!B:B,"absent des plateformes")</f>
        <v>absent des plateformes</v>
      </c>
    </row>
    <row r="76">
      <c r="A76" s="2" t="s">
        <v>99</v>
      </c>
      <c r="B76" s="3" t="str">
        <f>IFERROR(__xludf.DUMMYFUNCTION("REGEXREPLACE(A76, ""^https?://(www\.)?|/.*"", """")"),"booklette.fr")</f>
        <v>booklette.fr</v>
      </c>
      <c r="C76" s="1" t="s">
        <v>8</v>
      </c>
      <c r="D76" s="1">
        <v>1.0</v>
      </c>
      <c r="E76" s="1" t="s">
        <v>23</v>
      </c>
      <c r="F76" s="1" t="s">
        <v>10</v>
      </c>
      <c r="G76" s="4" t="str">
        <f t="array" ref="G76">XLOOKUP(B76,Sheet1!A:A,Sheet1!B:B,"absent des plateformes")</f>
        <v>absent des plateformes</v>
      </c>
    </row>
    <row r="77">
      <c r="A77" s="2" t="s">
        <v>100</v>
      </c>
      <c r="B77" s="3" t="str">
        <f>IFERROR(__xludf.DUMMYFUNCTION("REGEXREPLACE(A77, ""^https?://(www\.)?|/.*"", """")"),"agence-ilargia.fr")</f>
        <v>agence-ilargia.fr</v>
      </c>
      <c r="C77" s="1" t="s">
        <v>8</v>
      </c>
      <c r="D77" s="1">
        <v>1.0</v>
      </c>
      <c r="E77" s="1" t="s">
        <v>23</v>
      </c>
      <c r="F77" s="1" t="s">
        <v>10</v>
      </c>
      <c r="G77" s="4" t="str">
        <f t="array" ref="G77">XLOOKUP(B77,Sheet1!A:A,Sheet1!B:B,"absent des plateformes")</f>
        <v>absent des plateformes</v>
      </c>
    </row>
    <row r="78">
      <c r="A78" s="2" t="s">
        <v>101</v>
      </c>
      <c r="B78" s="3" t="str">
        <f>IFERROR(__xludf.DUMMYFUNCTION("REGEXREPLACE(A78, ""^https?://(www\.)?|/.*"", """")"),"lemarche.inclusion.gouv.fr")</f>
        <v>lemarche.inclusion.gouv.fr</v>
      </c>
      <c r="C78" s="1" t="s">
        <v>8</v>
      </c>
      <c r="D78" s="1">
        <v>1.0</v>
      </c>
      <c r="E78" s="1" t="s">
        <v>23</v>
      </c>
      <c r="F78" s="1" t="s">
        <v>10</v>
      </c>
      <c r="G78" s="4" t="str">
        <f t="array" ref="G78">XLOOKUP(B78,Sheet1!A:A,Sheet1!B:B,"absent des plateformes")</f>
        <v>absent des plateformes</v>
      </c>
    </row>
    <row r="79">
      <c r="A79" s="2" t="s">
        <v>102</v>
      </c>
      <c r="B79" s="3" t="str">
        <f>IFERROR(__xludf.DUMMYFUNCTION("REGEXREPLACE(A79, ""^https?://(www\.)?|/.*"", """")"),"crafters.fr")</f>
        <v>crafters.fr</v>
      </c>
      <c r="C79" s="1" t="s">
        <v>8</v>
      </c>
      <c r="D79" s="1">
        <v>1.0</v>
      </c>
      <c r="E79" s="1" t="s">
        <v>103</v>
      </c>
      <c r="F79" s="1" t="s">
        <v>10</v>
      </c>
      <c r="G79" s="4" t="str">
        <f t="array" ref="G79">XLOOKUP(B79,Sheet1!A:A,Sheet1!B:B,"absent des plateformes")</f>
        <v>absent des plateformes</v>
      </c>
    </row>
    <row r="80">
      <c r="A80" s="2" t="s">
        <v>104</v>
      </c>
      <c r="B80" s="3" t="str">
        <f>IFERROR(__xludf.DUMMYFUNCTION("REGEXREPLACE(A80, ""^https?://(www\.)?|/.*"", """")"),"douce-impression.com")</f>
        <v>douce-impression.com</v>
      </c>
      <c r="C80" s="1" t="s">
        <v>8</v>
      </c>
      <c r="D80" s="1">
        <v>1.0</v>
      </c>
      <c r="E80" s="1" t="s">
        <v>103</v>
      </c>
      <c r="F80" s="1" t="s">
        <v>10</v>
      </c>
      <c r="G80" s="4" t="str">
        <f t="array" ref="G80">XLOOKUP(B80,Sheet1!A:A,Sheet1!B:B,"absent des plateformes")</f>
        <v>absent des plateformes</v>
      </c>
    </row>
    <row r="81">
      <c r="A81" s="2" t="s">
        <v>105</v>
      </c>
      <c r="B81" s="3" t="str">
        <f>IFERROR(__xludf.DUMMYFUNCTION("REGEXREPLACE(A81, ""^https?://(www\.)?|/.*"", """")"),"zaprinta.fr")</f>
        <v>zaprinta.fr</v>
      </c>
      <c r="C81" s="1" t="s">
        <v>8</v>
      </c>
      <c r="D81" s="1">
        <v>1.0</v>
      </c>
      <c r="E81" s="1" t="s">
        <v>103</v>
      </c>
      <c r="F81" s="1" t="s">
        <v>10</v>
      </c>
      <c r="G81" s="4" t="str">
        <f t="array" ref="G81">XLOOKUP(B81,Sheet1!A:A,Sheet1!B:B,"absent des plateformes")</f>
        <v>absent des plateformes</v>
      </c>
    </row>
    <row r="82">
      <c r="A82" s="2" t="s">
        <v>106</v>
      </c>
      <c r="B82" s="3" t="str">
        <f>IFERROR(__xludf.DUMMYFUNCTION("REGEXREPLACE(A82, ""^https?://(www\.)?|/.*"", """")"),"printecom-madeinfrance.fr")</f>
        <v>printecom-madeinfrance.fr</v>
      </c>
      <c r="C82" s="1" t="s">
        <v>8</v>
      </c>
      <c r="D82" s="1">
        <v>1.0</v>
      </c>
      <c r="E82" s="1" t="s">
        <v>103</v>
      </c>
      <c r="F82" s="1" t="s">
        <v>10</v>
      </c>
      <c r="G82" s="4" t="str">
        <f t="array" ref="G82">XLOOKUP(B82,Sheet1!A:A,Sheet1!B:B,"absent des plateformes")</f>
        <v>absent des plateformes</v>
      </c>
    </row>
    <row r="83">
      <c r="A83" s="2" t="s">
        <v>107</v>
      </c>
      <c r="B83" s="6" t="str">
        <f>IFERROR(__xludf.DUMMYFUNCTION("REGEXREPLACE(A83, ""^https?://(www\.)?|/.*"", """")"),"goodies.studio")</f>
        <v>goodies.studio</v>
      </c>
      <c r="C83" s="1" t="s">
        <v>8</v>
      </c>
      <c r="D83" s="1">
        <v>1.0</v>
      </c>
      <c r="E83" s="1" t="s">
        <v>103</v>
      </c>
      <c r="F83" s="1" t="s">
        <v>10</v>
      </c>
      <c r="G83" s="4" t="str">
        <f t="array" ref="G83">XLOOKUP(B83,Sheet1!A:A,Sheet1!B:B,"absent des plateformes")</f>
        <v>absent des plateformes</v>
      </c>
    </row>
    <row r="84">
      <c r="A84" s="2" t="s">
        <v>108</v>
      </c>
      <c r="B84" s="3" t="str">
        <f>IFERROR(__xludf.DUMMYFUNCTION("REGEXREPLACE(A84, ""^https?://(www\.)?|/.*"", """")"),"giftcampaign.fr")</f>
        <v>giftcampaign.fr</v>
      </c>
      <c r="C84" s="1" t="s">
        <v>8</v>
      </c>
      <c r="D84" s="1">
        <v>1.0</v>
      </c>
      <c r="E84" s="1" t="s">
        <v>103</v>
      </c>
      <c r="F84" s="1" t="s">
        <v>10</v>
      </c>
      <c r="G84" s="4" t="str">
        <f t="array" ref="G84">XLOOKUP(B84,Sheet1!A:A,Sheet1!B:B,"absent des plateformes")</f>
        <v>absent des plateformes</v>
      </c>
    </row>
    <row r="85">
      <c r="A85" s="2" t="s">
        <v>109</v>
      </c>
      <c r="B85" s="3" t="str">
        <f>IFERROR(__xludf.DUMMYFUNCTION("REGEXREPLACE(A85, ""^https?://(www\.)?|/.*"", """")"),"pixeprint.com")</f>
        <v>pixeprint.com</v>
      </c>
      <c r="C85" s="1" t="s">
        <v>8</v>
      </c>
      <c r="D85" s="1">
        <v>1.0</v>
      </c>
      <c r="E85" s="1" t="s">
        <v>103</v>
      </c>
      <c r="F85" s="1" t="s">
        <v>10</v>
      </c>
      <c r="G85" s="4" t="str">
        <f t="array" ref="G85">XLOOKUP(B85,Sheet1!A:A,Sheet1!B:B,"absent des plateformes")</f>
        <v>absent des plateformes</v>
      </c>
    </row>
    <row r="86">
      <c r="A86" s="2" t="s">
        <v>110</v>
      </c>
      <c r="B86" s="3" t="str">
        <f>IFERROR(__xludf.DUMMYFUNCTION("REGEXREPLACE(A86, ""^https?://(www\.)?|/.*"", """")"),"guide.ruedesgoodies.com")</f>
        <v>guide.ruedesgoodies.com</v>
      </c>
      <c r="C86" s="1" t="s">
        <v>8</v>
      </c>
      <c r="D86" s="1">
        <v>1.0</v>
      </c>
      <c r="E86" s="1" t="s">
        <v>103</v>
      </c>
      <c r="F86" s="1" t="s">
        <v>10</v>
      </c>
      <c r="G86" s="4" t="str">
        <f t="array" ref="G86">XLOOKUP(B86,Sheet1!A:A,Sheet1!B:B,"absent des plateformes")</f>
        <v>absent des plateformes</v>
      </c>
    </row>
    <row r="87">
      <c r="A87" s="2" t="s">
        <v>111</v>
      </c>
      <c r="B87" s="3" t="str">
        <f>IFERROR(__xludf.DUMMYFUNCTION("REGEXREPLACE(A87, ""^https?://(www\.)?|/.*"", """")"),"graphiline.com")</f>
        <v>graphiline.com</v>
      </c>
      <c r="C87" s="1" t="s">
        <v>8</v>
      </c>
      <c r="D87" s="1">
        <v>1.0</v>
      </c>
      <c r="E87" s="1" t="s">
        <v>25</v>
      </c>
      <c r="F87" s="1" t="s">
        <v>10</v>
      </c>
      <c r="G87" s="4" t="str">
        <f t="array" ref="G87">XLOOKUP(B87,Sheet1!A:A,Sheet1!B:B,"absent des plateformes")</f>
        <v>absent des plateformes</v>
      </c>
    </row>
    <row r="88">
      <c r="A88" s="2" t="s">
        <v>112</v>
      </c>
      <c r="B88" s="3" t="str">
        <f>IFERROR(__xludf.DUMMYFUNCTION("REGEXREPLACE(A88, ""^https?://(www\.)?|/.*"", """")"),"plimsoll.fr")</f>
        <v>plimsoll.fr</v>
      </c>
      <c r="C88" s="1" t="s">
        <v>8</v>
      </c>
      <c r="D88" s="1">
        <v>1.0</v>
      </c>
      <c r="E88" s="1" t="s">
        <v>25</v>
      </c>
      <c r="F88" s="1" t="s">
        <v>10</v>
      </c>
      <c r="G88" s="4" t="str">
        <f t="array" ref="G88">XLOOKUP(B88,Sheet1!A:A,Sheet1!B:B,"absent des plateformes")</f>
        <v>absent des plateformes</v>
      </c>
    </row>
    <row r="89">
      <c r="A89" s="2" t="s">
        <v>113</v>
      </c>
      <c r="B89" s="3" t="str">
        <f>IFERROR(__xludf.DUMMYFUNCTION("REGEXREPLACE(A89, ""^https?://(www\.)?|/.*"", """")"),"blog.exaprint.fr")</f>
        <v>blog.exaprint.fr</v>
      </c>
      <c r="C89" s="1" t="s">
        <v>8</v>
      </c>
      <c r="D89" s="1">
        <v>1.0</v>
      </c>
      <c r="E89" s="1" t="s">
        <v>25</v>
      </c>
      <c r="F89" s="1" t="s">
        <v>10</v>
      </c>
      <c r="G89" s="4" t="str">
        <f t="array" ref="G89">XLOOKUP(B89,Sheet1!A:A,Sheet1!B:B,"absent des plateformes")</f>
        <v>absent des plateformes</v>
      </c>
    </row>
    <row r="90">
      <c r="A90" s="2" t="s">
        <v>114</v>
      </c>
      <c r="B90" s="3" t="str">
        <f>IFERROR(__xludf.DUMMYFUNCTION("REGEXREPLACE(A90, ""^https?://(www\.)?|/.*"", """")"),"annuairefrancais.fr")</f>
        <v>annuairefrancais.fr</v>
      </c>
      <c r="C90" s="1" t="s">
        <v>8</v>
      </c>
      <c r="D90" s="1">
        <v>1.0</v>
      </c>
      <c r="E90" s="1" t="s">
        <v>25</v>
      </c>
      <c r="F90" s="1" t="s">
        <v>10</v>
      </c>
      <c r="G90" s="4" t="str">
        <f t="array" ref="G90">XLOOKUP(B90,Sheet1!A:A,Sheet1!B:B,"absent des plateformes")</f>
        <v>absent des plateformes</v>
      </c>
    </row>
    <row r="91">
      <c r="A91" s="2" t="s">
        <v>115</v>
      </c>
      <c r="B91" s="3" t="str">
        <f>IFERROR(__xludf.DUMMYFUNCTION("REGEXREPLACE(A91, ""^https?://(www\.)?|/.*"", """")"),"fr.printflux.com")</f>
        <v>fr.printflux.com</v>
      </c>
      <c r="C91" s="1" t="s">
        <v>8</v>
      </c>
      <c r="D91" s="1">
        <v>1.0</v>
      </c>
      <c r="E91" s="1" t="s">
        <v>27</v>
      </c>
      <c r="F91" s="1" t="s">
        <v>10</v>
      </c>
      <c r="G91" s="4" t="str">
        <f t="array" ref="G91">XLOOKUP(B91,Sheet1!A:A,Sheet1!B:B,"absent des plateformes")</f>
        <v>absent des plateformes</v>
      </c>
    </row>
    <row r="92">
      <c r="A92" s="2" t="s">
        <v>116</v>
      </c>
      <c r="B92" s="3" t="str">
        <f>IFERROR(__xludf.DUMMYFUNCTION("REGEXREPLACE(A92, ""^https?://(www\.)?|/.*"", """")"),"realisaprint.com")</f>
        <v>realisaprint.com</v>
      </c>
      <c r="C92" s="1" t="s">
        <v>8</v>
      </c>
      <c r="D92" s="1">
        <v>1.0</v>
      </c>
      <c r="E92" s="1" t="s">
        <v>23</v>
      </c>
      <c r="F92" s="1" t="s">
        <v>10</v>
      </c>
      <c r="G92" s="4" t="str">
        <f t="array" ref="G92">XLOOKUP(B92,Sheet1!A:A,Sheet1!B:B,"absent des plateformes")</f>
        <v>absent des plateformes</v>
      </c>
    </row>
    <row r="93">
      <c r="A93" s="2" t="s">
        <v>117</v>
      </c>
      <c r="B93" s="3" t="str">
        <f>IFERROR(__xludf.DUMMYFUNCTION("REGEXREPLACE(A93, ""^https?://(www\.)?|/.*"", """")"),"pixartprinting.fr")</f>
        <v>pixartprinting.fr</v>
      </c>
      <c r="C93" s="1" t="s">
        <v>8</v>
      </c>
      <c r="D93" s="1">
        <v>1.0</v>
      </c>
      <c r="E93" s="1" t="s">
        <v>27</v>
      </c>
      <c r="F93" s="1" t="s">
        <v>10</v>
      </c>
      <c r="G93" s="4" t="str">
        <f t="array" ref="G93">XLOOKUP(B93,Sheet1!A:A,Sheet1!B:B,"absent des plateformes")</f>
        <v>absent des plateformes</v>
      </c>
    </row>
    <row r="94">
      <c r="A94" s="2" t="s">
        <v>118</v>
      </c>
      <c r="B94" s="3" t="str">
        <f>IFERROR(__xludf.DUMMYFUNCTION("REGEXREPLACE(A94, ""^https?://(www\.)?|/.*"", """")"),"cadoetik.com")</f>
        <v>cadoetik.com</v>
      </c>
      <c r="C94" s="1" t="s">
        <v>8</v>
      </c>
      <c r="D94" s="1">
        <v>1.0</v>
      </c>
      <c r="E94" s="1" t="s">
        <v>19</v>
      </c>
      <c r="F94" s="1" t="s">
        <v>10</v>
      </c>
      <c r="G94" s="4" t="str">
        <f t="array" ref="G94">XLOOKUP(B94,Sheet1!A:A,Sheet1!B:B,"absent des plateformes")</f>
        <v>absent des plateformes</v>
      </c>
    </row>
    <row r="95">
      <c r="A95" s="2" t="s">
        <v>119</v>
      </c>
      <c r="B95" s="3" t="str">
        <f>IFERROR(__xludf.DUMMYFUNCTION("REGEXREPLACE(A95, ""^https?://(www\.)?|/.*"", """")"),"goodiespublicitaires.fr")</f>
        <v>goodiespublicitaires.fr</v>
      </c>
      <c r="C95" s="1" t="s">
        <v>8</v>
      </c>
      <c r="D95" s="1">
        <v>1.0</v>
      </c>
      <c r="E95" s="1" t="s">
        <v>19</v>
      </c>
      <c r="F95" s="1" t="s">
        <v>10</v>
      </c>
      <c r="G95" s="4" t="str">
        <f t="array" ref="G95">XLOOKUP(B95,Sheet1!A:A,Sheet1!B:B,"absent des plateformes")</f>
        <v>absent des plateformes</v>
      </c>
    </row>
    <row r="96">
      <c r="A96" s="2" t="s">
        <v>120</v>
      </c>
      <c r="B96" s="3" t="str">
        <f>IFERROR(__xludf.DUMMYFUNCTION("REGEXREPLACE(A96, ""^https?://(www\.)?|/.*"", """")"),"filifloc.fr")</f>
        <v>filifloc.fr</v>
      </c>
      <c r="C96" s="1" t="s">
        <v>8</v>
      </c>
      <c r="D96" s="1">
        <v>1.0</v>
      </c>
      <c r="E96" s="1" t="s">
        <v>19</v>
      </c>
      <c r="F96" s="1" t="s">
        <v>10</v>
      </c>
      <c r="G96" s="4" t="str">
        <f t="array" ref="G96">XLOOKUP(B96,Sheet1!A:A,Sheet1!B:B,"absent des plateformes")</f>
        <v>absent des plateformes</v>
      </c>
    </row>
    <row r="97">
      <c r="A97" s="2" t="s">
        <v>121</v>
      </c>
      <c r="B97" s="3" t="str">
        <f>IFERROR(__xludf.DUMMYFUNCTION("REGEXREPLACE(A97, ""^https?://(www\.)?|/.*"", """")"),"goodies-discount.fr")</f>
        <v>goodies-discount.fr</v>
      </c>
      <c r="C97" s="1" t="s">
        <v>8</v>
      </c>
      <c r="D97" s="1">
        <v>1.0</v>
      </c>
      <c r="E97" s="1" t="s">
        <v>19</v>
      </c>
      <c r="F97" s="1" t="s">
        <v>10</v>
      </c>
      <c r="G97" s="4" t="str">
        <f t="array" ref="G97">XLOOKUP(B97,Sheet1!A:A,Sheet1!B:B,"absent des plateformes")</f>
        <v>absent des plateformes</v>
      </c>
    </row>
    <row r="98">
      <c r="A98" s="2" t="s">
        <v>122</v>
      </c>
      <c r="B98" s="6" t="str">
        <f>IFERROR(__xludf.DUMMYFUNCTION("REGEXREPLACE(A98, ""^https?://(www\.)?|/.*"", """")"),"totebag.studio")</f>
        <v>totebag.studio</v>
      </c>
      <c r="C98" s="1" t="s">
        <v>8</v>
      </c>
      <c r="D98" s="1">
        <v>1.0</v>
      </c>
      <c r="E98" s="1" t="s">
        <v>19</v>
      </c>
      <c r="F98" s="1" t="s">
        <v>10</v>
      </c>
      <c r="G98" s="4" t="str">
        <f t="array" ref="G98">XLOOKUP(B98,Sheet1!A:A,Sheet1!B:B,"absent des plateformes")</f>
        <v>absent des plateformes</v>
      </c>
    </row>
    <row r="99">
      <c r="A99" s="2" t="s">
        <v>123</v>
      </c>
      <c r="B99" s="3" t="str">
        <f>IFERROR(__xludf.DUMMYFUNCTION("REGEXREPLACE(A99, ""^https?://(www\.)?|/.*"", """")"),"stampasi.fr")</f>
        <v>stampasi.fr</v>
      </c>
      <c r="C99" s="1" t="s">
        <v>8</v>
      </c>
      <c r="D99" s="1">
        <v>1.0</v>
      </c>
      <c r="E99" s="1" t="s">
        <v>19</v>
      </c>
      <c r="F99" s="1" t="s">
        <v>10</v>
      </c>
      <c r="G99" s="4" t="str">
        <f t="array" ref="G99">XLOOKUP(B99,Sheet1!A:A,Sheet1!B:B,"absent des plateformes")</f>
        <v>absent des plateformes</v>
      </c>
    </row>
    <row r="100">
      <c r="A100" s="2" t="s">
        <v>124</v>
      </c>
      <c r="B100" s="3" t="str">
        <f>IFERROR(__xludf.DUMMYFUNCTION("REGEXREPLACE(A100, ""^https?://(www\.)?|/.*"", """")"),"stampasi.fr")</f>
        <v>stampasi.fr</v>
      </c>
      <c r="C100" s="1" t="s">
        <v>8</v>
      </c>
      <c r="D100" s="1">
        <v>1.0</v>
      </c>
      <c r="E100" s="1" t="s">
        <v>19</v>
      </c>
      <c r="F100" s="1" t="s">
        <v>10</v>
      </c>
      <c r="G100" s="4" t="str">
        <f t="array" ref="G100">XLOOKUP(B100,Sheet1!A:A,Sheet1!B:B,"absent des plateformes")</f>
        <v>absent des plateformes</v>
      </c>
    </row>
    <row r="101">
      <c r="A101" s="2" t="s">
        <v>125</v>
      </c>
      <c r="B101" s="3" t="str">
        <f>IFERROR(__xludf.DUMMYFUNCTION("REGEXREPLACE(A101, ""^https?://(www\.)?|/.*"", """")"),"imprimerie-market.com")</f>
        <v>imprimerie-market.com</v>
      </c>
      <c r="C101" s="1" t="s">
        <v>8</v>
      </c>
      <c r="D101" s="1">
        <v>1.0</v>
      </c>
      <c r="E101" s="1" t="s">
        <v>37</v>
      </c>
      <c r="F101" s="1" t="s">
        <v>10</v>
      </c>
      <c r="G101" s="4" t="str">
        <f t="array" ref="G101">XLOOKUP(B101,Sheet1!A:A,Sheet1!B:B,"absent des plateformes")</f>
        <v>absent des plateformes</v>
      </c>
    </row>
    <row r="102">
      <c r="A102" s="2" t="s">
        <v>126</v>
      </c>
      <c r="B102" s="3" t="str">
        <f>IFERROR(__xludf.DUMMYFUNCTION("REGEXREPLACE(A102, ""^https?://(www\.)?|/.*"", """")"),"imprimer-vert.fr")</f>
        <v>imprimer-vert.fr</v>
      </c>
      <c r="C102" s="1" t="s">
        <v>8</v>
      </c>
      <c r="D102" s="1">
        <v>1.0</v>
      </c>
      <c r="E102" s="1" t="s">
        <v>37</v>
      </c>
      <c r="F102" s="1" t="s">
        <v>10</v>
      </c>
      <c r="G102" s="4" t="str">
        <f t="array" ref="G102">XLOOKUP(B102,Sheet1!A:A,Sheet1!B:B,"absent des plateformes")</f>
        <v>absent des plateformes</v>
      </c>
    </row>
    <row r="103">
      <c r="A103" s="2" t="s">
        <v>127</v>
      </c>
      <c r="B103" s="3" t="str">
        <f>IFERROR(__xludf.DUMMYFUNCTION("REGEXREPLACE(A103, ""^https?://(www\.)?|/.*"", """")"),"imprimerieflyer.com")</f>
        <v>imprimerieflyer.com</v>
      </c>
      <c r="C103" s="1" t="s">
        <v>8</v>
      </c>
      <c r="D103" s="1">
        <v>1.0</v>
      </c>
      <c r="E103" s="1" t="s">
        <v>37</v>
      </c>
      <c r="F103" s="1" t="s">
        <v>10</v>
      </c>
      <c r="G103" s="4" t="str">
        <f t="array" ref="G103">XLOOKUP(B103,Sheet1!A:A,Sheet1!B:B,"absent des plateformes")</f>
        <v>absent des plateformes</v>
      </c>
    </row>
    <row r="104">
      <c r="A104" s="2" t="s">
        <v>128</v>
      </c>
      <c r="B104" s="3" t="str">
        <f>IFERROR(__xludf.DUMMYFUNCTION("REGEXREPLACE(A104, ""^https?://(www\.)?|/.*"", """")"),"atelierbox.fr")</f>
        <v>atelierbox.fr</v>
      </c>
      <c r="C104" s="1" t="s">
        <v>8</v>
      </c>
      <c r="D104" s="1">
        <v>1.0</v>
      </c>
      <c r="E104" s="1" t="s">
        <v>19</v>
      </c>
      <c r="F104" s="1" t="s">
        <v>10</v>
      </c>
      <c r="G104" s="4" t="str">
        <f t="array" ref="G104">XLOOKUP(B104,Sheet1!A:A,Sheet1!B:B,"absent des plateformes")</f>
        <v>absent des plateformes</v>
      </c>
    </row>
    <row r="105">
      <c r="A105" s="2" t="s">
        <v>129</v>
      </c>
      <c r="B105" s="3" t="str">
        <f>IFERROR(__xludf.DUMMYFUNCTION("REGEXREPLACE(A105, ""^https?://(www\.)?|/.*"", """")"),"atelierbox.fr")</f>
        <v>atelierbox.fr</v>
      </c>
      <c r="C105" s="1" t="s">
        <v>8</v>
      </c>
      <c r="D105" s="1">
        <v>1.0</v>
      </c>
      <c r="E105" s="1" t="s">
        <v>54</v>
      </c>
      <c r="F105" s="1" t="s">
        <v>10</v>
      </c>
      <c r="G105" s="4" t="str">
        <f t="array" ref="G105">XLOOKUP(B105,Sheet1!A:A,Sheet1!B:B,"absent des plateformes")</f>
        <v>absent des plateformes</v>
      </c>
    </row>
    <row r="106">
      <c r="A106" s="2" t="s">
        <v>130</v>
      </c>
      <c r="B106" s="3" t="str">
        <f>IFERROR(__xludf.DUMMYFUNCTION("REGEXREPLACE(A106, ""^https?://(www\.)?|/.*"", """")"),"stylo-personnalisable.fr")</f>
        <v>stylo-personnalisable.fr</v>
      </c>
      <c r="C106" s="1" t="s">
        <v>8</v>
      </c>
      <c r="D106" s="1">
        <v>1.0</v>
      </c>
      <c r="E106" s="1" t="s">
        <v>54</v>
      </c>
      <c r="F106" s="1" t="s">
        <v>10</v>
      </c>
      <c r="G106" s="4" t="str">
        <f t="array" ref="G106">XLOOKUP(B106,Sheet1!A:A,Sheet1!B:B,"absent des plateformes")</f>
        <v>absent des plateformes</v>
      </c>
    </row>
    <row r="107">
      <c r="A107" s="2" t="s">
        <v>131</v>
      </c>
      <c r="B107" s="3" t="str">
        <f>IFERROR(__xludf.DUMMYFUNCTION("REGEXREPLACE(A107, ""^https?://(www\.)?|/.*"", """")"),"axonprofil.fr")</f>
        <v>axonprofil.fr</v>
      </c>
      <c r="C107" s="1" t="s">
        <v>8</v>
      </c>
      <c r="D107" s="1">
        <v>1.0</v>
      </c>
      <c r="E107" s="1" t="s">
        <v>54</v>
      </c>
      <c r="F107" s="1" t="s">
        <v>10</v>
      </c>
      <c r="G107" s="4" t="str">
        <f t="array" ref="G107">XLOOKUP(B107,Sheet1!A:A,Sheet1!B:B,"absent des plateformes")</f>
        <v>absent des plateformes</v>
      </c>
    </row>
    <row r="108">
      <c r="A108" s="2" t="s">
        <v>132</v>
      </c>
      <c r="B108" s="3" t="str">
        <f>IFERROR(__xludf.DUMMYFUNCTION("REGEXREPLACE(A108, ""^https?://(www\.)?|/.*"", """")"),"suissaimprimeur.fr")</f>
        <v>suissaimprimeur.fr</v>
      </c>
      <c r="C108" s="1" t="s">
        <v>8</v>
      </c>
      <c r="D108" s="1">
        <v>1.0</v>
      </c>
      <c r="E108" s="1" t="s">
        <v>35</v>
      </c>
      <c r="F108" s="1" t="s">
        <v>10</v>
      </c>
      <c r="G108" s="4" t="str">
        <f t="array" ref="G108">XLOOKUP(B108,Sheet1!A:A,Sheet1!B:B,"absent des plateformes")</f>
        <v>absent des plateformes</v>
      </c>
    </row>
    <row r="109">
      <c r="A109" s="2" t="s">
        <v>133</v>
      </c>
      <c r="B109" s="3" t="str">
        <f>IFERROR(__xludf.DUMMYFUNCTION("REGEXREPLACE(A109, ""^https?://(www\.)?|/.*"", """")"),"exaprint.fr")</f>
        <v>exaprint.fr</v>
      </c>
      <c r="C109" s="1" t="s">
        <v>8</v>
      </c>
      <c r="D109" s="1">
        <v>1.0</v>
      </c>
      <c r="E109" s="1" t="s">
        <v>35</v>
      </c>
      <c r="F109" s="1" t="s">
        <v>10</v>
      </c>
      <c r="G109" s="4" t="str">
        <f t="array" ref="G109">XLOOKUP(B109,Sheet1!A:A,Sheet1!B:B,"absent des plateformes")</f>
        <v>absent des plateformes</v>
      </c>
    </row>
    <row r="110">
      <c r="A110" s="2" t="s">
        <v>134</v>
      </c>
      <c r="B110" s="3" t="str">
        <f>IFERROR(__xludf.DUMMYFUNCTION("REGEXREPLACE(A110, ""^https?://(www\.)?|/.*"", """")"),"enveloffset.com")</f>
        <v>enveloffset.com</v>
      </c>
      <c r="C110" s="1" t="s">
        <v>8</v>
      </c>
      <c r="D110" s="1">
        <v>1.0</v>
      </c>
      <c r="E110" s="1" t="s">
        <v>35</v>
      </c>
      <c r="F110" s="1" t="s">
        <v>10</v>
      </c>
      <c r="G110" s="4" t="str">
        <f t="array" ref="G110">XLOOKUP(B110,Sheet1!A:A,Sheet1!B:B,"absent des plateformes")</f>
        <v>absent des plateformes</v>
      </c>
    </row>
    <row r="111">
      <c r="A111" s="2" t="s">
        <v>135</v>
      </c>
      <c r="B111" s="3" t="str">
        <f>IFERROR(__xludf.DUMMYFUNCTION("REGEXREPLACE(A111, ""^https?://(www\.)?|/.*"", """")"),"impressionpro.fr")</f>
        <v>impressionpro.fr</v>
      </c>
      <c r="C111" s="1" t="s">
        <v>8</v>
      </c>
      <c r="D111" s="1">
        <v>1.0</v>
      </c>
      <c r="E111" s="1" t="s">
        <v>35</v>
      </c>
      <c r="F111" s="1" t="s">
        <v>10</v>
      </c>
      <c r="G111" s="4" t="str">
        <f t="array" ref="G111">XLOOKUP(B111,Sheet1!A:A,Sheet1!B:B,"absent des plateformes")</f>
        <v>absent des plateformes</v>
      </c>
    </row>
    <row r="112">
      <c r="A112" s="2" t="s">
        <v>136</v>
      </c>
      <c r="B112" s="3" t="str">
        <f>IFERROR(__xludf.DUMMYFUNCTION("REGEXREPLACE(A112, ""^https?://(www\.)?|/.*"", """")"),"copytop.com")</f>
        <v>copytop.com</v>
      </c>
      <c r="C112" s="1" t="s">
        <v>8</v>
      </c>
      <c r="D112" s="1">
        <v>1.0</v>
      </c>
      <c r="E112" s="1" t="s">
        <v>35</v>
      </c>
      <c r="F112" s="1" t="s">
        <v>10</v>
      </c>
      <c r="G112" s="4" t="str">
        <f t="array" ref="G112">XLOOKUP(B112,Sheet1!A:A,Sheet1!B:B,"absent des plateformes")</f>
        <v>absent des plateformes</v>
      </c>
    </row>
    <row r="113">
      <c r="A113" s="2" t="s">
        <v>137</v>
      </c>
      <c r="B113" s="3" t="str">
        <f>IFERROR(__xludf.DUMMYFUNCTION("REGEXREPLACE(A113, ""^https?://(www\.)?|/.*"", """")"),"aubinimprimeur.fr")</f>
        <v>aubinimprimeur.fr</v>
      </c>
      <c r="C113" s="1" t="s">
        <v>8</v>
      </c>
      <c r="D113" s="1">
        <v>1.0</v>
      </c>
      <c r="E113" s="1" t="s">
        <v>35</v>
      </c>
      <c r="F113" s="1" t="s">
        <v>10</v>
      </c>
      <c r="G113" s="4" t="str">
        <f t="array" ref="G113">XLOOKUP(B113,Sheet1!A:A,Sheet1!B:B,"absent des plateformes")</f>
        <v>absent des plateformes</v>
      </c>
    </row>
    <row r="114">
      <c r="A114" s="2" t="s">
        <v>138</v>
      </c>
      <c r="B114" s="3" t="str">
        <f>IFERROR(__xludf.DUMMYFUNCTION("REGEXREPLACE(A114, ""^https?://(www\.)?|/.*"", """")"),"agir-graphic.fr")</f>
        <v>agir-graphic.fr</v>
      </c>
      <c r="C114" s="1" t="s">
        <v>8</v>
      </c>
      <c r="D114" s="1">
        <v>1.0</v>
      </c>
      <c r="E114" s="1" t="s">
        <v>35</v>
      </c>
      <c r="F114" s="1" t="s">
        <v>10</v>
      </c>
      <c r="G114" s="4" t="str">
        <f t="array" ref="G114">XLOOKUP(B114,Sheet1!A:A,Sheet1!B:B,"absent des plateformes")</f>
        <v>absent des plateformes</v>
      </c>
    </row>
    <row r="115">
      <c r="A115" s="2" t="s">
        <v>139</v>
      </c>
      <c r="B115" s="6" t="str">
        <f>IFERROR(__xludf.DUMMYFUNCTION("REGEXREPLACE(A115, ""^https?://(www\.)?|/.*"", """")"),"catalogue.services")</f>
        <v>catalogue.services</v>
      </c>
      <c r="C115" s="1" t="s">
        <v>8</v>
      </c>
      <c r="D115" s="1">
        <v>1.0</v>
      </c>
      <c r="E115" s="1" t="s">
        <v>35</v>
      </c>
      <c r="F115" s="1" t="s">
        <v>10</v>
      </c>
      <c r="G115" s="4" t="str">
        <f t="array" ref="G115">XLOOKUP(B115,Sheet1!A:A,Sheet1!B:B,"absent des plateformes")</f>
        <v>absent des plateformes</v>
      </c>
    </row>
    <row r="116">
      <c r="A116" s="2" t="s">
        <v>140</v>
      </c>
      <c r="B116" s="3" t="str">
        <f>IFERROR(__xludf.DUMMYFUNCTION("REGEXREPLACE(A116, ""^https?://(www\.)?|/.*"", """")"),"imprimerie-geiger.fr")</f>
        <v>imprimerie-geiger.fr</v>
      </c>
      <c r="C116" s="1" t="s">
        <v>8</v>
      </c>
      <c r="D116" s="1">
        <v>1.0</v>
      </c>
      <c r="E116" s="1" t="s">
        <v>141</v>
      </c>
      <c r="F116" s="1" t="s">
        <v>10</v>
      </c>
      <c r="G116" s="4" t="str">
        <f t="array" ref="G116">XLOOKUP(B116,Sheet1!A:A,Sheet1!B:B,"absent des plateformes")</f>
        <v>absent des plateformes</v>
      </c>
    </row>
    <row r="117">
      <c r="A117" s="2" t="s">
        <v>142</v>
      </c>
      <c r="B117" s="3" t="str">
        <f>IFERROR(__xludf.DUMMYFUNCTION("REGEXREPLACE(A117, ""^https?://(www\.)?|/.*"", """")"),"incagraphic.fr")</f>
        <v>incagraphic.fr</v>
      </c>
      <c r="C117" s="1" t="s">
        <v>8</v>
      </c>
      <c r="D117" s="1">
        <v>1.0</v>
      </c>
      <c r="E117" s="1" t="s">
        <v>141</v>
      </c>
      <c r="F117" s="1" t="s">
        <v>10</v>
      </c>
      <c r="G117" s="4" t="str">
        <f t="array" ref="G117">XLOOKUP(B117,Sheet1!A:A,Sheet1!B:B,"absent des plateformes")</f>
        <v>absent des plateformes</v>
      </c>
    </row>
    <row r="118">
      <c r="A118" s="2" t="s">
        <v>143</v>
      </c>
      <c r="B118" s="3" t="str">
        <f>IFERROR(__xludf.DUMMYFUNCTION("REGEXREPLACE(A118, ""^https?://(www\.)?|/.*"", """")"),"imprimeriestrasbourg.com")</f>
        <v>imprimeriestrasbourg.com</v>
      </c>
      <c r="C118" s="1" t="s">
        <v>8</v>
      </c>
      <c r="D118" s="1">
        <v>1.0</v>
      </c>
      <c r="E118" s="1" t="s">
        <v>141</v>
      </c>
      <c r="F118" s="1" t="s">
        <v>10</v>
      </c>
      <c r="G118" s="4" t="str">
        <f t="array" ref="G118">XLOOKUP(B118,Sheet1!A:A,Sheet1!B:B,"absent des plateformes")</f>
        <v>absent des plateformes</v>
      </c>
    </row>
    <row r="119">
      <c r="A119" s="2" t="s">
        <v>144</v>
      </c>
      <c r="B119" s="3" t="str">
        <f>IFERROR(__xludf.DUMMYFUNCTION("REGEXREPLACE(A119, ""^https?://(www\.)?|/.*"", """")"),"elsassprint.com")</f>
        <v>elsassprint.com</v>
      </c>
      <c r="C119" s="1" t="s">
        <v>8</v>
      </c>
      <c r="D119" s="1">
        <v>1.0</v>
      </c>
      <c r="E119" s="1" t="s">
        <v>141</v>
      </c>
      <c r="F119" s="1" t="s">
        <v>10</v>
      </c>
      <c r="G119" s="4" t="str">
        <f t="array" ref="G119">XLOOKUP(B119,Sheet1!A:A,Sheet1!B:B,"absent des plateformes")</f>
        <v>absent des plateformes</v>
      </c>
    </row>
    <row r="120">
      <c r="A120" s="2" t="s">
        <v>145</v>
      </c>
      <c r="B120" s="3" t="str">
        <f>IFERROR(__xludf.DUMMYFUNCTION("REGEXREPLACE(A120, ""^https?://(www\.)?|/.*"", """")"),"absurdeimpression.com")</f>
        <v>absurdeimpression.com</v>
      </c>
      <c r="C120" s="1" t="s">
        <v>8</v>
      </c>
      <c r="D120" s="1">
        <v>1.0</v>
      </c>
      <c r="E120" s="1" t="s">
        <v>141</v>
      </c>
      <c r="F120" s="1" t="s">
        <v>10</v>
      </c>
      <c r="G120" s="4" t="str">
        <f t="array" ref="G120">XLOOKUP(B120,Sheet1!A:A,Sheet1!B:B,"absent des plateformes")</f>
        <v>absent des plateformes</v>
      </c>
    </row>
    <row r="121">
      <c r="A121" s="2" t="s">
        <v>146</v>
      </c>
      <c r="B121" s="3" t="str">
        <f>IFERROR(__xludf.DUMMYFUNCTION("REGEXREPLACE(A121, ""^https?://(www\.)?|/.*"", """")"),"trouve-ton-imprimeur.fr")</f>
        <v>trouve-ton-imprimeur.fr</v>
      </c>
      <c r="C121" s="1" t="s">
        <v>8</v>
      </c>
      <c r="D121" s="1">
        <v>1.0</v>
      </c>
      <c r="E121" s="1" t="s">
        <v>141</v>
      </c>
      <c r="F121" s="1" t="s">
        <v>10</v>
      </c>
      <c r="G121" s="4" t="str">
        <f t="array" ref="G121">XLOOKUP(B121,Sheet1!A:A,Sheet1!B:B,"absent des plateformes")</f>
        <v>absent des plateformes</v>
      </c>
    </row>
    <row r="122">
      <c r="A122" s="2" t="s">
        <v>147</v>
      </c>
      <c r="B122" s="3" t="str">
        <f>IFERROR(__xludf.DUMMYFUNCTION("REGEXREPLACE(A122, ""^https?://(www\.)?|/.*"", """")"),"imprimerie-brochure.com")</f>
        <v>imprimerie-brochure.com</v>
      </c>
      <c r="C122" s="1" t="s">
        <v>8</v>
      </c>
      <c r="D122" s="1">
        <v>1.0</v>
      </c>
      <c r="E122" s="1" t="s">
        <v>141</v>
      </c>
      <c r="F122" s="1" t="s">
        <v>10</v>
      </c>
      <c r="G122" s="4" t="str">
        <f t="array" ref="G122">XLOOKUP(B122,Sheet1!A:A,Sheet1!B:B,"absent des plateformes")</f>
        <v>absent des plateformes</v>
      </c>
    </row>
    <row r="123">
      <c r="A123" s="2" t="s">
        <v>148</v>
      </c>
      <c r="B123" s="3" t="str">
        <f>IFERROR(__xludf.DUMMYFUNCTION("REGEXREPLACE(A123, ""^https?://(www\.)?|/.*"", """")"),"groupecar.com")</f>
        <v>groupecar.com</v>
      </c>
      <c r="C123" s="1" t="s">
        <v>8</v>
      </c>
      <c r="D123" s="1">
        <v>1.0</v>
      </c>
      <c r="E123" s="1" t="s">
        <v>141</v>
      </c>
      <c r="F123" s="1" t="s">
        <v>10</v>
      </c>
      <c r="G123" s="4" t="str">
        <f t="array" ref="G123">XLOOKUP(B123,Sheet1!A:A,Sheet1!B:B,"absent des plateformes")</f>
        <v>absent des plateformes</v>
      </c>
    </row>
    <row r="124">
      <c r="A124" s="2" t="s">
        <v>149</v>
      </c>
      <c r="B124" s="3" t="str">
        <f>IFERROR(__xludf.DUMMYFUNCTION("REGEXREPLACE(A124, ""^https?://(www\.)?|/.*"", """")"),"strasprint.fr")</f>
        <v>strasprint.fr</v>
      </c>
      <c r="C124" s="1" t="s">
        <v>8</v>
      </c>
      <c r="D124" s="1">
        <v>1.0</v>
      </c>
      <c r="E124" s="1" t="s">
        <v>141</v>
      </c>
      <c r="F124" s="1" t="s">
        <v>10</v>
      </c>
      <c r="G124" s="4" t="str">
        <f t="array" ref="G124">XLOOKUP(B124,Sheet1!A:A,Sheet1!B:B,"absent des plateformes")</f>
        <v>absent des plateformes</v>
      </c>
    </row>
    <row r="125">
      <c r="A125" s="2" t="s">
        <v>150</v>
      </c>
      <c r="B125" s="6" t="str">
        <f>IFERROR(__xludf.DUMMYFUNCTION("REGEXREPLACE(A125, ""^https?://(www\.)?|/.*"", """")"),"absurde.eu")</f>
        <v>absurde.eu</v>
      </c>
      <c r="C125" s="1" t="s">
        <v>8</v>
      </c>
      <c r="D125" s="1">
        <v>1.0</v>
      </c>
      <c r="E125" s="1" t="s">
        <v>141</v>
      </c>
      <c r="F125" s="1" t="s">
        <v>10</v>
      </c>
      <c r="G125" s="4" t="str">
        <f t="array" ref="G125">XLOOKUP(B125,Sheet1!A:A,Sheet1!B:B,"absent des plateformes")</f>
        <v>absent des plateformes</v>
      </c>
    </row>
    <row r="126">
      <c r="A126" s="2" t="s">
        <v>151</v>
      </c>
      <c r="B126" s="6" t="str">
        <f>IFERROR(__xludf.DUMMYFUNCTION("REGEXREPLACE(A126, ""^https?://(www\.)?|/.*"", """")"),"absurde.eu")</f>
        <v>absurde.eu</v>
      </c>
      <c r="C126" s="1" t="s">
        <v>8</v>
      </c>
      <c r="D126" s="1">
        <v>1.0</v>
      </c>
      <c r="E126" s="1" t="s">
        <v>141</v>
      </c>
      <c r="F126" s="1" t="s">
        <v>10</v>
      </c>
      <c r="G126" s="4" t="str">
        <f t="array" ref="G126">XLOOKUP(B126,Sheet1!A:A,Sheet1!B:B,"absent des plateformes")</f>
        <v>absent des plateformes</v>
      </c>
    </row>
    <row r="127">
      <c r="A127" s="2" t="s">
        <v>152</v>
      </c>
      <c r="B127" s="3" t="str">
        <f>IFERROR(__xludf.DUMMYFUNCTION("REGEXREPLACE(A127, ""^https?://(www\.)?|/.*"", """")"),"bestfree.nl")</f>
        <v>bestfree.nl</v>
      </c>
      <c r="C127" s="1" t="s">
        <v>8</v>
      </c>
      <c r="D127" s="1">
        <v>1.0</v>
      </c>
      <c r="E127" s="1" t="s">
        <v>13</v>
      </c>
      <c r="F127" s="1" t="s">
        <v>10</v>
      </c>
      <c r="G127" s="4" t="str">
        <f t="array" ref="G127">XLOOKUP(B127,Sheet1!A:A,Sheet1!B:B,"absent des plateformes")</f>
        <v>absent des plateformes</v>
      </c>
    </row>
    <row r="128">
      <c r="A128" s="2" t="s">
        <v>153</v>
      </c>
      <c r="B128" s="6" t="str">
        <f>IFERROR(__xludf.DUMMYFUNCTION("REGEXREPLACE(A128, ""^https?://(www\.)?|/.*"", """")"),"spreadly.app")</f>
        <v>spreadly.app</v>
      </c>
      <c r="C128" s="1" t="s">
        <v>8</v>
      </c>
      <c r="D128" s="1">
        <v>1.0</v>
      </c>
      <c r="E128" s="1" t="s">
        <v>13</v>
      </c>
      <c r="F128" s="1" t="s">
        <v>10</v>
      </c>
      <c r="G128" s="4" t="str">
        <f t="array" ref="G128">XLOOKUP(B128,Sheet1!A:A,Sheet1!B:B,"absent des plateformes")</f>
        <v>absent des plateformes</v>
      </c>
    </row>
    <row r="129">
      <c r="A129" s="2" t="s">
        <v>154</v>
      </c>
      <c r="B129" s="3" t="str">
        <f>IFERROR(__xludf.DUMMYFUNCTION("REGEXREPLACE(A129, ""^https?://(www\.)?|/.*"", """")"),"copymage.com")</f>
        <v>copymage.com</v>
      </c>
      <c r="C129" s="1" t="s">
        <v>8</v>
      </c>
      <c r="D129" s="1">
        <v>1.0</v>
      </c>
      <c r="E129" s="1" t="s">
        <v>27</v>
      </c>
      <c r="F129" s="1" t="s">
        <v>10</v>
      </c>
      <c r="G129" s="4" t="str">
        <f t="array" ref="G129">XLOOKUP(B129,Sheet1!A:A,Sheet1!B:B,"absent des plateformes")</f>
        <v>absent des plateformes</v>
      </c>
    </row>
    <row r="130">
      <c r="A130" s="2" t="s">
        <v>155</v>
      </c>
      <c r="B130" s="3" t="str">
        <f>IFERROR(__xludf.DUMMYFUNCTION("REGEXREPLACE(A130, ""^https?://(www\.)?|/.*"", """")"),"print.com")</f>
        <v>print.com</v>
      </c>
      <c r="C130" s="1" t="s">
        <v>8</v>
      </c>
      <c r="D130" s="1">
        <v>1.0</v>
      </c>
      <c r="E130" s="1" t="s">
        <v>103</v>
      </c>
      <c r="F130" s="1" t="s">
        <v>10</v>
      </c>
      <c r="G130" s="4" t="str">
        <f t="array" ref="G130">XLOOKUP(B130,Sheet1!A:A,Sheet1!B:B,"absent des plateformes")</f>
        <v>absent des plateformes</v>
      </c>
    </row>
    <row r="131">
      <c r="A131" s="2" t="s">
        <v>156</v>
      </c>
      <c r="B131" s="3" t="str">
        <f>IFERROR(__xludf.DUMMYFUNCTION("REGEXREPLACE(A131, ""^https?://(www\.)?|/.*"", """")"),"print.com")</f>
        <v>print.com</v>
      </c>
      <c r="C131" s="1" t="s">
        <v>8</v>
      </c>
      <c r="D131" s="1">
        <v>1.0</v>
      </c>
      <c r="E131" s="1" t="s">
        <v>35</v>
      </c>
      <c r="F131" s="1" t="s">
        <v>10</v>
      </c>
      <c r="G131" s="4" t="str">
        <f t="array" ref="G131">XLOOKUP(B131,Sheet1!A:A,Sheet1!B:B,"absent des plateformes")</f>
        <v>absent des plateformes</v>
      </c>
    </row>
    <row r="132">
      <c r="A132" s="2" t="s">
        <v>157</v>
      </c>
      <c r="B132" s="3" t="str">
        <f>IFERROR(__xludf.DUMMYFUNCTION("REGEXREPLACE(A132, ""^https?://(www\.)?|/.*"", """")"),"print.com")</f>
        <v>print.com</v>
      </c>
      <c r="C132" s="1" t="s">
        <v>8</v>
      </c>
      <c r="D132" s="1">
        <v>1.0</v>
      </c>
      <c r="E132" s="1" t="s">
        <v>27</v>
      </c>
      <c r="F132" s="1" t="s">
        <v>10</v>
      </c>
      <c r="G132" s="4" t="str">
        <f t="array" ref="G132">XLOOKUP(B132,Sheet1!A:A,Sheet1!B:B,"absent des plateformes")</f>
        <v>absent des plateformes</v>
      </c>
    </row>
    <row r="133">
      <c r="A133" s="2" t="s">
        <v>158</v>
      </c>
      <c r="B133" s="3" t="str">
        <f>IFERROR(__xludf.DUMMYFUNCTION("REGEXREPLACE(A133, ""^https?://(www\.)?|/.*"", """")"),"veoprint.com")</f>
        <v>veoprint.com</v>
      </c>
      <c r="C133" s="1" t="s">
        <v>8</v>
      </c>
      <c r="D133" s="1">
        <v>1.0</v>
      </c>
      <c r="E133" s="1" t="s">
        <v>27</v>
      </c>
      <c r="F133" s="1" t="s">
        <v>14</v>
      </c>
      <c r="G133" s="4" t="str">
        <f t="array" ref="G133">XLOOKUP(B133,Sheet1!A:A,Sheet1!B:B,"absent des plateformes")</f>
        <v>absent des plateformes</v>
      </c>
    </row>
    <row r="134">
      <c r="A134" s="2" t="s">
        <v>159</v>
      </c>
      <c r="B134" s="3" t="str">
        <f>IFERROR(__xludf.DUMMYFUNCTION("REGEXREPLACE(A134, ""^https?://(www\.)?|/.*"", """")"),"veoprint.com")</f>
        <v>veoprint.com</v>
      </c>
      <c r="C134" s="1" t="s">
        <v>8</v>
      </c>
      <c r="D134" s="1">
        <v>1.0</v>
      </c>
      <c r="E134" s="1" t="s">
        <v>27</v>
      </c>
      <c r="F134" s="1" t="s">
        <v>14</v>
      </c>
      <c r="G134" s="4" t="str">
        <f t="array" ref="G134">XLOOKUP(B134,Sheet1!A:A,Sheet1!B:B,"absent des plateformes")</f>
        <v>absent des plateformes</v>
      </c>
    </row>
    <row r="135">
      <c r="A135" s="2" t="s">
        <v>160</v>
      </c>
      <c r="B135" s="3" t="str">
        <f>IFERROR(__xludf.DUMMYFUNCTION("REGEXREPLACE(A135, ""^https?://(www\.)?|/.*"", """")"),"veoprint.com")</f>
        <v>veoprint.com</v>
      </c>
      <c r="C135" s="1" t="s">
        <v>8</v>
      </c>
      <c r="D135" s="1">
        <v>1.0</v>
      </c>
      <c r="E135" s="1" t="s">
        <v>103</v>
      </c>
      <c r="F135" s="1" t="s">
        <v>14</v>
      </c>
      <c r="G135" s="4" t="str">
        <f t="array" ref="G135">XLOOKUP(B135,Sheet1!A:A,Sheet1!B:B,"absent des plateformes")</f>
        <v>absent des plateformes</v>
      </c>
    </row>
    <row r="136">
      <c r="A136" s="2" t="s">
        <v>161</v>
      </c>
      <c r="B136" s="3" t="str">
        <f>IFERROR(__xludf.DUMMYFUNCTION("REGEXREPLACE(A136, ""^https?://(www\.)?|/.*"", """")"),"veoprint.com")</f>
        <v>veoprint.com</v>
      </c>
      <c r="C136" s="1" t="s">
        <v>8</v>
      </c>
      <c r="D136" s="1">
        <v>1.0</v>
      </c>
      <c r="E136" s="1" t="s">
        <v>37</v>
      </c>
      <c r="F136" s="1" t="s">
        <v>14</v>
      </c>
      <c r="G136" s="4" t="str">
        <f t="array" ref="G136">XLOOKUP(B136,Sheet1!A:A,Sheet1!B:B,"absent des plateformes")</f>
        <v>absent des plateformes</v>
      </c>
    </row>
    <row r="137">
      <c r="A137" s="2" t="s">
        <v>162</v>
      </c>
      <c r="B137" s="3" t="str">
        <f>IFERROR(__xludf.DUMMYFUNCTION("REGEXREPLACE(A137, ""^https?://(www\.)?|/.*"", """")"),"veoprint.com")</f>
        <v>veoprint.com</v>
      </c>
      <c r="C137" s="1" t="s">
        <v>8</v>
      </c>
      <c r="D137" s="1">
        <v>1.0</v>
      </c>
      <c r="E137" s="1" t="s">
        <v>37</v>
      </c>
      <c r="F137" s="1" t="s">
        <v>14</v>
      </c>
      <c r="G137" s="4" t="str">
        <f t="array" ref="G137">XLOOKUP(B137,Sheet1!A:A,Sheet1!B:B,"absent des plateformes")</f>
        <v>absent des plateformes</v>
      </c>
    </row>
    <row r="138">
      <c r="A138" s="2" t="s">
        <v>163</v>
      </c>
      <c r="B138" s="3" t="str">
        <f>IFERROR(__xludf.DUMMYFUNCTION("REGEXREPLACE(A138, ""^https?://(www\.)?|/.*"", """")"),"veoprint.com")</f>
        <v>veoprint.com</v>
      </c>
      <c r="C138" s="1" t="s">
        <v>8</v>
      </c>
      <c r="D138" s="1">
        <v>1.0</v>
      </c>
      <c r="E138" s="1" t="s">
        <v>37</v>
      </c>
      <c r="F138" s="1" t="s">
        <v>14</v>
      </c>
      <c r="G138" s="4" t="str">
        <f t="array" ref="G138">XLOOKUP(B138,Sheet1!A:A,Sheet1!B:B,"absent des plateformes")</f>
        <v>absent des plateformes</v>
      </c>
    </row>
    <row r="139">
      <c r="A139" s="2" t="s">
        <v>164</v>
      </c>
      <c r="B139" s="3" t="str">
        <f>IFERROR(__xludf.DUMMYFUNCTION("REGEXREPLACE(A139, ""^https?://(www\.)?|/.*"", """")"),"veoprint.com")</f>
        <v>veoprint.com</v>
      </c>
      <c r="C139" s="1" t="s">
        <v>8</v>
      </c>
      <c r="D139" s="1">
        <v>1.0</v>
      </c>
      <c r="E139" s="1" t="s">
        <v>35</v>
      </c>
      <c r="F139" s="1" t="s">
        <v>14</v>
      </c>
      <c r="G139" s="4" t="str">
        <f t="array" ref="G139">XLOOKUP(B139,Sheet1!A:A,Sheet1!B:B,"absent des plateformes")</f>
        <v>absent des plateformes</v>
      </c>
    </row>
    <row r="140">
      <c r="A140" s="2" t="s">
        <v>165</v>
      </c>
      <c r="B140" s="3" t="str">
        <f>IFERROR(__xludf.DUMMYFUNCTION("REGEXREPLACE(A140, ""^https?://(www\.)?|/.*"", """")"),"veoprint.com")</f>
        <v>veoprint.com</v>
      </c>
      <c r="C140" s="1" t="s">
        <v>8</v>
      </c>
      <c r="D140" s="1">
        <v>1.0</v>
      </c>
      <c r="E140" s="1" t="s">
        <v>27</v>
      </c>
      <c r="F140" s="1" t="s">
        <v>14</v>
      </c>
      <c r="G140" s="4" t="str">
        <f t="array" ref="G140">XLOOKUP(B140,Sheet1!A:A,Sheet1!B:B,"absent des plateformes")</f>
        <v>absent des plateformes</v>
      </c>
    </row>
    <row r="141">
      <c r="A141" s="2" t="s">
        <v>166</v>
      </c>
      <c r="B141" s="3" t="str">
        <f>IFERROR(__xludf.DUMMYFUNCTION("REGEXREPLACE(A141, ""^https?://(www\.)?|/.*"", """")"),"jimprime.net")</f>
        <v>jimprime.net</v>
      </c>
      <c r="C141" s="1" t="s">
        <v>8</v>
      </c>
      <c r="D141" s="1">
        <v>1.0</v>
      </c>
      <c r="E141" s="1" t="s">
        <v>27</v>
      </c>
      <c r="F141" s="1" t="s">
        <v>10</v>
      </c>
      <c r="G141" s="4" t="str">
        <f t="array" ref="G141">XLOOKUP(B141,Sheet1!A:A,Sheet1!B:B,"absent des plateformes")</f>
        <v>absent des plateformes</v>
      </c>
    </row>
    <row r="142">
      <c r="A142" s="2" t="s">
        <v>167</v>
      </c>
      <c r="B142" s="3" t="str">
        <f>IFERROR(__xludf.DUMMYFUNCTION("REGEXREPLACE(A142, ""^https?://(www\.)?|/.*"", """")"),"limprimeriegenerale.com")</f>
        <v>limprimeriegenerale.com</v>
      </c>
      <c r="C142" s="1" t="s">
        <v>8</v>
      </c>
      <c r="D142" s="1">
        <v>1.0</v>
      </c>
      <c r="E142" s="1" t="s">
        <v>27</v>
      </c>
      <c r="F142" s="1" t="s">
        <v>10</v>
      </c>
      <c r="G142" s="4" t="str">
        <f t="array" ref="G142">XLOOKUP(B142,Sheet1!A:A,Sheet1!B:B,"absent des plateformes")</f>
        <v>absent des plateformes</v>
      </c>
    </row>
    <row r="143">
      <c r="A143" s="2" t="s">
        <v>168</v>
      </c>
      <c r="B143" s="3" t="str">
        <f>IFERROR(__xludf.DUMMYFUNCTION("REGEXREPLACE(A143, ""^https?://(www\.)?|/.*"", """")"),"consumer-guidance.com")</f>
        <v>consumer-guidance.com</v>
      </c>
      <c r="C143" s="1" t="s">
        <v>8</v>
      </c>
      <c r="D143" s="1">
        <v>1.0</v>
      </c>
      <c r="E143" s="1" t="s">
        <v>13</v>
      </c>
      <c r="F143" s="1" t="s">
        <v>10</v>
      </c>
      <c r="G143" s="4" t="str">
        <f t="array" ref="G143">XLOOKUP(B143,Sheet1!A:A,Sheet1!B:B,"absent des plateformes")</f>
        <v>absent des plateformes</v>
      </c>
    </row>
    <row r="144">
      <c r="A144" s="2" t="s">
        <v>169</v>
      </c>
      <c r="B144" s="3" t="str">
        <f>IFERROR(__xludf.DUMMYFUNCTION("REGEXREPLACE(A144, ""^https?://(www\.)?|/.*"", """")"),"printoclock.com")</f>
        <v>printoclock.com</v>
      </c>
      <c r="C144" s="1" t="s">
        <v>8</v>
      </c>
      <c r="D144" s="1">
        <v>1.0</v>
      </c>
      <c r="E144" s="1" t="s">
        <v>13</v>
      </c>
      <c r="F144" s="1" t="s">
        <v>10</v>
      </c>
      <c r="G144" s="4" t="str">
        <f t="array" ref="G144">XLOOKUP(B144,Sheet1!A:A,Sheet1!B:B,"absent des plateformes")</f>
        <v>absent des plateformes</v>
      </c>
    </row>
    <row r="145">
      <c r="A145" s="2" t="s">
        <v>170</v>
      </c>
      <c r="B145" s="3" t="str">
        <f>IFERROR(__xludf.DUMMYFUNCTION("REGEXREPLACE(A145, ""^https?://(www\.)?|/.*"", """")"),"printoclock.com")</f>
        <v>printoclock.com</v>
      </c>
      <c r="C145" s="1" t="s">
        <v>8</v>
      </c>
      <c r="D145" s="1">
        <v>1.0</v>
      </c>
      <c r="E145" s="1" t="s">
        <v>23</v>
      </c>
      <c r="F145" s="1" t="s">
        <v>10</v>
      </c>
      <c r="G145" s="4" t="str">
        <f t="array" ref="G145">XLOOKUP(B145,Sheet1!A:A,Sheet1!B:B,"absent des plateformes")</f>
        <v>absent des plateformes</v>
      </c>
    </row>
    <row r="146">
      <c r="A146" s="2" t="s">
        <v>171</v>
      </c>
      <c r="B146" s="3" t="str">
        <f>IFERROR(__xludf.DUMMYFUNCTION("REGEXREPLACE(A146, ""^https?://(www\.)?|/.*"", """")"),"printoclock.com")</f>
        <v>printoclock.com</v>
      </c>
      <c r="C146" s="1" t="s">
        <v>8</v>
      </c>
      <c r="D146" s="1">
        <v>1.0</v>
      </c>
      <c r="E146" s="1" t="s">
        <v>13</v>
      </c>
      <c r="F146" s="1" t="s">
        <v>10</v>
      </c>
      <c r="G146" s="4" t="str">
        <f t="array" ref="G146">XLOOKUP(B146,Sheet1!A:A,Sheet1!B:B,"absent des plateformes")</f>
        <v>absent des plateformes</v>
      </c>
    </row>
    <row r="147">
      <c r="A147" s="2" t="s">
        <v>172</v>
      </c>
      <c r="B147" s="3" t="str">
        <f>IFERROR(__xludf.DUMMYFUNCTION("REGEXREPLACE(A147, ""^https?://(www\.)?|/.*"", """")"),"printoclock.com")</f>
        <v>printoclock.com</v>
      </c>
      <c r="C147" s="1" t="s">
        <v>8</v>
      </c>
      <c r="D147" s="1">
        <v>1.0</v>
      </c>
      <c r="E147" s="1" t="s">
        <v>13</v>
      </c>
      <c r="F147" s="1" t="s">
        <v>10</v>
      </c>
      <c r="G147" s="4" t="str">
        <f t="array" ref="G147">XLOOKUP(B147,Sheet1!A:A,Sheet1!B:B,"absent des plateformes")</f>
        <v>absent des plateformes</v>
      </c>
    </row>
    <row r="148">
      <c r="A148" s="2" t="s">
        <v>173</v>
      </c>
      <c r="B148" s="3" t="str">
        <f>IFERROR(__xludf.DUMMYFUNCTION("REGEXREPLACE(A148, ""^https?://(www\.)?|/.*"", """")"),"printoclock.com")</f>
        <v>printoclock.com</v>
      </c>
      <c r="C148" s="1" t="s">
        <v>8</v>
      </c>
      <c r="D148" s="1">
        <v>1.0</v>
      </c>
      <c r="E148" s="1" t="s">
        <v>13</v>
      </c>
      <c r="F148" s="1" t="s">
        <v>10</v>
      </c>
      <c r="G148" s="4" t="str">
        <f t="array" ref="G148">XLOOKUP(B148,Sheet1!A:A,Sheet1!B:B,"absent des plateformes")</f>
        <v>absent des plateformes</v>
      </c>
    </row>
    <row r="149">
      <c r="A149" s="2" t="s">
        <v>174</v>
      </c>
      <c r="B149" s="3" t="str">
        <f>IFERROR(__xludf.DUMMYFUNCTION("REGEXREPLACE(A149, ""^https?://(www\.)?|/.*"", """")"),"printoclock.com")</f>
        <v>printoclock.com</v>
      </c>
      <c r="C149" s="1" t="s">
        <v>8</v>
      </c>
      <c r="D149" s="1">
        <v>1.0</v>
      </c>
      <c r="E149" s="1" t="s">
        <v>13</v>
      </c>
      <c r="F149" s="1" t="s">
        <v>10</v>
      </c>
      <c r="G149" s="4" t="str">
        <f t="array" ref="G149">XLOOKUP(B149,Sheet1!A:A,Sheet1!B:B,"absent des plateformes")</f>
        <v>absent des plateformes</v>
      </c>
    </row>
    <row r="150">
      <c r="A150" s="2" t="s">
        <v>175</v>
      </c>
      <c r="B150" s="3" t="str">
        <f>IFERROR(__xludf.DUMMYFUNCTION("REGEXREPLACE(A150, ""^https?://(www\.)?|/.*"", """")"),"printoclock.com")</f>
        <v>printoclock.com</v>
      </c>
      <c r="C150" s="1" t="s">
        <v>8</v>
      </c>
      <c r="D150" s="1">
        <v>1.0</v>
      </c>
      <c r="E150" s="1" t="s">
        <v>13</v>
      </c>
      <c r="F150" s="1" t="s">
        <v>10</v>
      </c>
      <c r="G150" s="4" t="str">
        <f t="array" ref="G150">XLOOKUP(B150,Sheet1!A:A,Sheet1!B:B,"absent des plateformes")</f>
        <v>absent des plateformes</v>
      </c>
    </row>
    <row r="151">
      <c r="A151" s="2" t="s">
        <v>176</v>
      </c>
      <c r="B151" s="3" t="str">
        <f>IFERROR(__xludf.DUMMYFUNCTION("REGEXREPLACE(A151, ""^https?://(www\.)?|/.*"", """")"),"printoclock.com")</f>
        <v>printoclock.com</v>
      </c>
      <c r="C151" s="1" t="s">
        <v>8</v>
      </c>
      <c r="D151" s="1">
        <v>1.0</v>
      </c>
      <c r="E151" s="1" t="s">
        <v>13</v>
      </c>
      <c r="F151" s="1" t="s">
        <v>10</v>
      </c>
      <c r="G151" s="4" t="str">
        <f t="array" ref="G151">XLOOKUP(B151,Sheet1!A:A,Sheet1!B:B,"absent des plateformes")</f>
        <v>absent des plateformes</v>
      </c>
    </row>
    <row r="152">
      <c r="A152" s="2" t="s">
        <v>177</v>
      </c>
      <c r="B152" s="3" t="str">
        <f>IFERROR(__xludf.DUMMYFUNCTION("REGEXREPLACE(A152, ""^https?://(www\.)?|/.*"", """")"),"nextprint.fr")</f>
        <v>nextprint.fr</v>
      </c>
      <c r="C152" s="1" t="s">
        <v>8</v>
      </c>
      <c r="D152" s="1">
        <v>1.0</v>
      </c>
      <c r="E152" s="1" t="s">
        <v>178</v>
      </c>
      <c r="F152" s="1" t="s">
        <v>10</v>
      </c>
      <c r="G152" s="4" t="str">
        <f t="array" ref="G152">XLOOKUP(B152,Sheet1!A:A,Sheet1!B:B,"absent des plateformes")</f>
        <v>absent des plateformes</v>
      </c>
    </row>
    <row r="153">
      <c r="A153" s="2" t="s">
        <v>179</v>
      </c>
      <c r="B153" s="3" t="str">
        <f>IFERROR(__xludf.DUMMYFUNCTION("REGEXREPLACE(A153, ""^https?://(www\.)?|/.*"", """")"),"reflexprinting.fr")</f>
        <v>reflexprinting.fr</v>
      </c>
      <c r="C153" s="1" t="s">
        <v>8</v>
      </c>
      <c r="D153" s="1">
        <v>1.0</v>
      </c>
      <c r="E153" s="1" t="s">
        <v>178</v>
      </c>
      <c r="F153" s="1" t="s">
        <v>10</v>
      </c>
      <c r="G153" s="4" t="str">
        <f t="array" ref="G153">XLOOKUP(B153,Sheet1!A:A,Sheet1!B:B,"absent des plateformes")</f>
        <v>absent des plateformes</v>
      </c>
    </row>
    <row r="154">
      <c r="A154" s="2" t="s">
        <v>180</v>
      </c>
      <c r="B154" s="3" t="str">
        <f>IFERROR(__xludf.DUMMYFUNCTION("REGEXREPLACE(A154, ""^https?://(www\.)?|/.*"", """")"),"imprimeur-en-ligne.fr")</f>
        <v>imprimeur-en-ligne.fr</v>
      </c>
      <c r="C154" s="1" t="s">
        <v>8</v>
      </c>
      <c r="D154" s="1">
        <v>1.0</v>
      </c>
      <c r="E154" s="1" t="s">
        <v>23</v>
      </c>
      <c r="F154" s="1" t="s">
        <v>10</v>
      </c>
      <c r="G154" s="4" t="str">
        <f t="array" ref="G154">XLOOKUP(B154,Sheet1!A:A,Sheet1!B:B,"absent des plateformes")</f>
        <v>absent des plateformes</v>
      </c>
    </row>
    <row r="155">
      <c r="A155" s="2" t="s">
        <v>181</v>
      </c>
      <c r="B155" s="3" t="str">
        <f>IFERROR(__xludf.DUMMYFUNCTION("REGEXREPLACE(A155, ""^https?://(www\.)?|/.*"", """")"),"imprimeur-en-ligne.fr")</f>
        <v>imprimeur-en-ligne.fr</v>
      </c>
      <c r="C155" s="1" t="s">
        <v>8</v>
      </c>
      <c r="D155" s="1">
        <v>1.0</v>
      </c>
      <c r="E155" s="1" t="s">
        <v>35</v>
      </c>
      <c r="F155" s="1" t="s">
        <v>10</v>
      </c>
      <c r="G155" s="4" t="str">
        <f t="array" ref="G155">XLOOKUP(B155,Sheet1!A:A,Sheet1!B:B,"absent des plateformes")</f>
        <v>absent des plateformes</v>
      </c>
    </row>
    <row r="156">
      <c r="A156" s="2" t="s">
        <v>182</v>
      </c>
      <c r="B156" s="3" t="str">
        <f>IFERROR(__xludf.DUMMYFUNCTION("REGEXREPLACE(A156, ""^https?://(www\.)?|/.*"", """")"),"imprimeur-en-ligne.fr")</f>
        <v>imprimeur-en-ligne.fr</v>
      </c>
      <c r="C156" s="1" t="s">
        <v>8</v>
      </c>
      <c r="D156" s="1">
        <v>1.0</v>
      </c>
      <c r="E156" s="1" t="s">
        <v>178</v>
      </c>
      <c r="F156" s="1" t="s">
        <v>10</v>
      </c>
      <c r="G156" s="4" t="str">
        <f t="array" ref="G156">XLOOKUP(B156,Sheet1!A:A,Sheet1!B:B,"absent des plateformes")</f>
        <v>absent des plateformes</v>
      </c>
    </row>
    <row r="157">
      <c r="A157" s="2" t="s">
        <v>183</v>
      </c>
      <c r="B157" s="3" t="str">
        <f>IFERROR(__xludf.DUMMYFUNCTION("REGEXREPLACE(A157, ""^https?://(www\.)?|/.*"", """")"),"helloprint.com")</f>
        <v>helloprint.com</v>
      </c>
      <c r="C157" s="1" t="s">
        <v>8</v>
      </c>
      <c r="D157" s="1">
        <v>1.0</v>
      </c>
      <c r="E157" s="1" t="s">
        <v>178</v>
      </c>
      <c r="F157" s="1" t="s">
        <v>10</v>
      </c>
      <c r="G157" s="4" t="str">
        <f t="array" ref="G157">XLOOKUP(B157,Sheet1!A:A,Sheet1!B:B,"absent des plateformes")</f>
        <v>absent des plateformes</v>
      </c>
    </row>
    <row r="158">
      <c r="A158" s="2" t="s">
        <v>184</v>
      </c>
      <c r="B158" s="3" t="str">
        <f>IFERROR(__xludf.DUMMYFUNCTION("REGEXREPLACE(A158, ""^https?://(www\.)?|/.*"", """")"),"lesgrandesimprimeries.com")</f>
        <v>lesgrandesimprimeries.com</v>
      </c>
      <c r="C158" s="1" t="s">
        <v>8</v>
      </c>
      <c r="D158" s="1">
        <v>1.0</v>
      </c>
      <c r="E158" s="1" t="s">
        <v>37</v>
      </c>
      <c r="F158" s="1" t="s">
        <v>10</v>
      </c>
      <c r="G158" s="4" t="str">
        <f t="array" ref="G158">XLOOKUP(B158,Sheet1!A:A,Sheet1!B:B,"absent des plateformes")</f>
        <v>absent des plateformes</v>
      </c>
    </row>
    <row r="159">
      <c r="A159" s="2" t="s">
        <v>185</v>
      </c>
      <c r="B159" s="3" t="str">
        <f>IFERROR(__xludf.DUMMYFUNCTION("REGEXREPLACE(A159, ""^https?://(www\.)?|/.*"", """")"),"lesgrandesimprimeries.com")</f>
        <v>lesgrandesimprimeries.com</v>
      </c>
      <c r="C159" s="1" t="s">
        <v>8</v>
      </c>
      <c r="D159" s="1">
        <v>1.0</v>
      </c>
      <c r="E159" s="1" t="s">
        <v>141</v>
      </c>
      <c r="F159" s="1" t="s">
        <v>10</v>
      </c>
      <c r="G159" s="4" t="str">
        <f t="array" ref="G159">XLOOKUP(B159,Sheet1!A:A,Sheet1!B:B,"absent des plateformes")</f>
        <v>absent des plateformes</v>
      </c>
    </row>
    <row r="160">
      <c r="A160" s="2" t="s">
        <v>186</v>
      </c>
      <c r="B160" s="3" t="str">
        <f>IFERROR(__xludf.DUMMYFUNCTION("REGEXREPLACE(A160, ""^https?://(www\.)?|/.*"", """")"),"lesgrandesimprimeries.com")</f>
        <v>lesgrandesimprimeries.com</v>
      </c>
      <c r="C160" s="1" t="s">
        <v>8</v>
      </c>
      <c r="D160" s="1">
        <v>1.0</v>
      </c>
      <c r="E160" s="1" t="s">
        <v>13</v>
      </c>
      <c r="F160" s="1" t="s">
        <v>10</v>
      </c>
      <c r="G160" s="4" t="str">
        <f t="array" ref="G160">XLOOKUP(B160,Sheet1!A:A,Sheet1!B:B,"absent des plateformes")</f>
        <v>absent des plateformes</v>
      </c>
    </row>
    <row r="161">
      <c r="A161" s="2" t="s">
        <v>187</v>
      </c>
      <c r="B161" s="3" t="str">
        <f>IFERROR(__xludf.DUMMYFUNCTION("REGEXREPLACE(A161, ""^https?://(www\.)?|/.*"", """")"),"limprimeurpapier.com")</f>
        <v>limprimeurpapier.com</v>
      </c>
      <c r="C161" s="1" t="s">
        <v>8</v>
      </c>
      <c r="D161" s="1">
        <v>1.0</v>
      </c>
      <c r="E161" s="1" t="s">
        <v>178</v>
      </c>
      <c r="F161" s="1" t="s">
        <v>10</v>
      </c>
      <c r="G161" s="4" t="str">
        <f t="array" ref="G161">XLOOKUP(B161,Sheet1!A:A,Sheet1!B:B,"absent des plateformes")</f>
        <v>absent des plateformes</v>
      </c>
    </row>
    <row r="162">
      <c r="A162" s="2" t="s">
        <v>188</v>
      </c>
      <c r="B162" s="3" t="str">
        <f>IFERROR(__xludf.DUMMYFUNCTION("REGEXREPLACE(A162, ""^https?://(www\.)?|/.*"", """")"),"printforyou.fr")</f>
        <v>printforyou.fr</v>
      </c>
      <c r="C162" s="1" t="s">
        <v>8</v>
      </c>
      <c r="D162" s="1">
        <v>1.0</v>
      </c>
      <c r="E162" s="1" t="s">
        <v>178</v>
      </c>
      <c r="F162" s="1" t="s">
        <v>10</v>
      </c>
      <c r="G162" s="4" t="str">
        <f t="array" ref="G162">XLOOKUP(B162,Sheet1!A:A,Sheet1!B:B,"absent des plateformes")</f>
        <v>absent des plateformes</v>
      </c>
    </row>
    <row r="163">
      <c r="A163" s="2" t="s">
        <v>189</v>
      </c>
      <c r="B163" s="3" t="str">
        <f>IFERROR(__xludf.DUMMYFUNCTION("REGEXREPLACE(A163, ""^https?://(www\.)?|/.*"", """")"),"koaprint.fr")</f>
        <v>koaprint.fr</v>
      </c>
      <c r="C163" s="1" t="s">
        <v>8</v>
      </c>
      <c r="D163" s="1">
        <v>1.0</v>
      </c>
      <c r="E163" s="1" t="s">
        <v>54</v>
      </c>
      <c r="F163" s="1" t="s">
        <v>10</v>
      </c>
      <c r="G163" s="4" t="str">
        <f t="array" ref="G163">XLOOKUP(B163,Sheet1!A:A,Sheet1!B:B,"absent des plateformes")</f>
        <v>absent des plateformes</v>
      </c>
    </row>
    <row r="164">
      <c r="A164" s="2" t="s">
        <v>190</v>
      </c>
      <c r="B164" s="3" t="str">
        <f>IFERROR(__xludf.DUMMYFUNCTION("REGEXREPLACE(A164, ""^https?://(www\.)?|/.*"", """")"),"objectile.fr")</f>
        <v>objectile.fr</v>
      </c>
      <c r="C164" s="1" t="s">
        <v>8</v>
      </c>
      <c r="D164" s="1">
        <v>1.0</v>
      </c>
      <c r="E164" s="1" t="s">
        <v>19</v>
      </c>
      <c r="F164" s="1" t="s">
        <v>10</v>
      </c>
      <c r="G164" s="4" t="str">
        <f t="array" ref="G164">XLOOKUP(B164,Sheet1!A:A,Sheet1!B:B,"absent des plateformes")</f>
        <v>absent des plateformes</v>
      </c>
    </row>
    <row r="165">
      <c r="A165" s="2" t="s">
        <v>191</v>
      </c>
      <c r="B165" s="3" t="str">
        <f>IFERROR(__xludf.DUMMYFUNCTION("REGEXREPLACE(A165, ""^https?://(www\.)?|/.*"", """")"),"objetpubdesign.com")</f>
        <v>objetpubdesign.com</v>
      </c>
      <c r="C165" s="1" t="s">
        <v>8</v>
      </c>
      <c r="D165" s="1">
        <v>1.0</v>
      </c>
      <c r="E165" s="1" t="s">
        <v>54</v>
      </c>
      <c r="F165" s="1" t="s">
        <v>10</v>
      </c>
      <c r="G165" s="4" t="str">
        <f t="array" ref="G165">XLOOKUP(B165,Sheet1!A:A,Sheet1!B:B,"absent des plateformes")</f>
        <v>absent des plateformes</v>
      </c>
    </row>
    <row r="166">
      <c r="A166" s="2" t="s">
        <v>192</v>
      </c>
      <c r="B166" s="3" t="str">
        <f>IFERROR(__xludf.DUMMYFUNCTION("REGEXREPLACE(A166, ""^https?://(www\.)?|/.*"", """")"),"wanapix.fr")</f>
        <v>wanapix.fr</v>
      </c>
      <c r="C166" s="1" t="s">
        <v>8</v>
      </c>
      <c r="D166" s="1">
        <v>1.0</v>
      </c>
      <c r="E166" s="1" t="s">
        <v>9</v>
      </c>
      <c r="F166" s="1" t="s">
        <v>10</v>
      </c>
      <c r="G166" s="4" t="str">
        <f t="array" ref="G166">XLOOKUP(B166,Sheet1!A:A,Sheet1!B:B,"absent des plateformes")</f>
        <v>absent des plateformes</v>
      </c>
    </row>
    <row r="167">
      <c r="A167" s="2" t="s">
        <v>193</v>
      </c>
      <c r="B167" s="3" t="str">
        <f>IFERROR(__xludf.DUMMYFUNCTION("REGEXREPLACE(A167, ""^https?://(www\.)?|/.*"", """")"),"gifta.fr")</f>
        <v>gifta.fr</v>
      </c>
      <c r="C167" s="1" t="s">
        <v>8</v>
      </c>
      <c r="D167" s="1">
        <v>1.0</v>
      </c>
      <c r="E167" s="1" t="s">
        <v>9</v>
      </c>
      <c r="F167" s="1" t="s">
        <v>10</v>
      </c>
      <c r="G167" s="4" t="str">
        <f t="array" ref="G167">XLOOKUP(B167,Sheet1!A:A,Sheet1!B:B,"absent des plateformes")</f>
        <v>absent des plateformes</v>
      </c>
    </row>
    <row r="168">
      <c r="A168" s="2" t="s">
        <v>194</v>
      </c>
      <c r="B168" s="3" t="str">
        <f>IFERROR(__xludf.DUMMYFUNCTION("REGEXREPLACE(A168, ""^https?://(www\.)?|/.*"", """")"),"yoursurprise.fr")</f>
        <v>yoursurprise.fr</v>
      </c>
      <c r="C168" s="1" t="s">
        <v>8</v>
      </c>
      <c r="D168" s="1">
        <v>1.0</v>
      </c>
      <c r="E168" s="1" t="s">
        <v>9</v>
      </c>
      <c r="F168" s="1" t="s">
        <v>10</v>
      </c>
      <c r="G168" s="4" t="str">
        <f t="array" ref="G168">XLOOKUP(B168,Sheet1!A:A,Sheet1!B:B,"absent des plateformes")</f>
        <v>absent des plateformes</v>
      </c>
    </row>
    <row r="169">
      <c r="A169" s="2" t="s">
        <v>195</v>
      </c>
      <c r="B169" s="3" t="str">
        <f>IFERROR(__xludf.DUMMYFUNCTION("REGEXREPLACE(A169, ""^https?://(www\.)?|/.*"", """")"),"sac-personnalisable.net")</f>
        <v>sac-personnalisable.net</v>
      </c>
      <c r="C169" s="1" t="s">
        <v>8</v>
      </c>
      <c r="D169" s="1">
        <v>1.0</v>
      </c>
      <c r="E169" s="1" t="s">
        <v>9</v>
      </c>
      <c r="F169" s="1" t="s">
        <v>10</v>
      </c>
      <c r="G169" s="4" t="str">
        <f t="array" ref="G169">XLOOKUP(B169,Sheet1!A:A,Sheet1!B:B,"absent des plateformes")</f>
        <v>absent des plateformes</v>
      </c>
    </row>
    <row r="170">
      <c r="A170" s="2" t="s">
        <v>196</v>
      </c>
      <c r="B170" s="3" t="str">
        <f>IFERROR(__xludf.DUMMYFUNCTION("REGEXREPLACE(A170, ""^https?://(www\.)?|/.*"", """")"),"btobag.fr")</f>
        <v>btobag.fr</v>
      </c>
      <c r="C170" s="1" t="s">
        <v>8</v>
      </c>
      <c r="D170" s="1">
        <v>1.0</v>
      </c>
      <c r="E170" s="1" t="s">
        <v>9</v>
      </c>
      <c r="F170" s="1" t="s">
        <v>10</v>
      </c>
      <c r="G170" s="4" t="str">
        <f t="array" ref="G170">XLOOKUP(B170,Sheet1!A:A,Sheet1!B:B,"absent des plateformes")</f>
        <v>absent des plateformes</v>
      </c>
    </row>
    <row r="171">
      <c r="A171" s="2" t="s">
        <v>197</v>
      </c>
      <c r="B171" s="3" t="str">
        <f>IFERROR(__xludf.DUMMYFUNCTION("REGEXREPLACE(A171, ""^https?://(www\.)?|/.*"", """")"),"maxilia.fr")</f>
        <v>maxilia.fr</v>
      </c>
      <c r="C171" s="1" t="s">
        <v>8</v>
      </c>
      <c r="D171" s="1">
        <v>1.0</v>
      </c>
      <c r="E171" s="1" t="s">
        <v>54</v>
      </c>
      <c r="F171" s="1" t="s">
        <v>10</v>
      </c>
      <c r="G171" s="4" t="str">
        <f t="array" ref="G171">XLOOKUP(B171,Sheet1!A:A,Sheet1!B:B,"absent des plateformes")</f>
        <v>absent des plateformes</v>
      </c>
    </row>
    <row r="172">
      <c r="A172" s="2" t="s">
        <v>198</v>
      </c>
      <c r="B172" s="3" t="str">
        <f>IFERROR(__xludf.DUMMYFUNCTION("REGEXREPLACE(A172, ""^https?://(www\.)?|/.*"", """")"),"maxilia.fr")</f>
        <v>maxilia.fr</v>
      </c>
      <c r="C172" s="1" t="s">
        <v>8</v>
      </c>
      <c r="D172" s="1">
        <v>1.0</v>
      </c>
      <c r="E172" s="1" t="s">
        <v>9</v>
      </c>
      <c r="F172" s="1" t="s">
        <v>10</v>
      </c>
      <c r="G172" s="4" t="str">
        <f t="array" ref="G172">XLOOKUP(B172,Sheet1!A:A,Sheet1!B:B,"absent des plateformes")</f>
        <v>absent des plateformes</v>
      </c>
    </row>
    <row r="173">
      <c r="A173" s="2" t="s">
        <v>199</v>
      </c>
      <c r="B173" s="3" t="str">
        <f>IFERROR(__xludf.DUMMYFUNCTION("REGEXREPLACE(A173, ""^https?://(www\.)?|/.*"", """")"),"mesbeauxtotebags.fr")</f>
        <v>mesbeauxtotebags.fr</v>
      </c>
      <c r="C173" s="1" t="s">
        <v>8</v>
      </c>
      <c r="D173" s="1">
        <v>1.0</v>
      </c>
      <c r="E173" s="1" t="s">
        <v>9</v>
      </c>
      <c r="F173" s="1" t="s">
        <v>10</v>
      </c>
      <c r="G173" s="4" t="str">
        <f t="array" ref="G173">XLOOKUP(B173,Sheet1!A:A,Sheet1!B:B,"absent des plateformes")</f>
        <v>absent des plateformes</v>
      </c>
    </row>
    <row r="174">
      <c r="A174" s="2" t="s">
        <v>200</v>
      </c>
      <c r="B174" s="3" t="str">
        <f>IFERROR(__xludf.DUMMYFUNCTION("REGEXREPLACE(A174, ""^https?://(www\.)?|/.*"", """")"),"latelierdutotebag.com")</f>
        <v>latelierdutotebag.com</v>
      </c>
      <c r="C174" s="1" t="s">
        <v>8</v>
      </c>
      <c r="D174" s="1">
        <v>1.0</v>
      </c>
      <c r="E174" s="1" t="s">
        <v>9</v>
      </c>
      <c r="F174" s="1" t="s">
        <v>10</v>
      </c>
      <c r="G174" s="4" t="str">
        <f t="array" ref="G174">XLOOKUP(B174,Sheet1!A:A,Sheet1!B:B,"absent des plateformes")</f>
        <v>absent des plateformes</v>
      </c>
    </row>
    <row r="175">
      <c r="A175" s="2" t="s">
        <v>201</v>
      </c>
      <c r="B175" s="3" t="str">
        <f>IFERROR(__xludf.DUMMYFUNCTION("REGEXREPLACE(A175, ""^https?://(www\.)?|/.*"", """")"),"mon-totebag.com")</f>
        <v>mon-totebag.com</v>
      </c>
      <c r="C175" s="1" t="s">
        <v>8</v>
      </c>
      <c r="D175" s="1">
        <v>1.0</v>
      </c>
      <c r="E175" s="1" t="s">
        <v>9</v>
      </c>
      <c r="F175" s="1" t="s">
        <v>10</v>
      </c>
      <c r="G175" s="4" t="str">
        <f t="array" ref="G175">XLOOKUP(B175,Sheet1!A:A,Sheet1!B:B,"absent des plateformes")</f>
        <v>absent des plateformes</v>
      </c>
    </row>
    <row r="176">
      <c r="A176" s="2" t="s">
        <v>202</v>
      </c>
      <c r="B176" s="3" t="str">
        <f>IFERROR(__xludf.DUMMYFUNCTION("REGEXREPLACE(A176, ""^https?://(www\.)?|/.*"", """")"),"france-imprimeries.info")</f>
        <v>france-imprimeries.info</v>
      </c>
      <c r="C176" s="1" t="s">
        <v>8</v>
      </c>
      <c r="D176" s="1">
        <v>1.0</v>
      </c>
      <c r="E176" s="1" t="s">
        <v>25</v>
      </c>
      <c r="F176" s="1" t="s">
        <v>10</v>
      </c>
      <c r="G176" s="4" t="str">
        <f t="array" ref="G176">XLOOKUP(B176,Sheet1!A:A,Sheet1!B:B,"absent des plateformes")</f>
        <v>absent des plateformes</v>
      </c>
    </row>
    <row r="177">
      <c r="A177" s="2" t="s">
        <v>203</v>
      </c>
      <c r="B177" s="3" t="str">
        <f>IFERROR(__xludf.DUMMYFUNCTION("REGEXREPLACE(A177, ""^https?://(www\.)?|/.*"", """")"),"glassdoor.fr")</f>
        <v>glassdoor.fr</v>
      </c>
      <c r="C177" s="1" t="s">
        <v>8</v>
      </c>
      <c r="D177" s="1">
        <v>1.0</v>
      </c>
      <c r="E177" s="1" t="s">
        <v>25</v>
      </c>
      <c r="F177" s="1" t="s">
        <v>10</v>
      </c>
      <c r="G177" s="4" t="str">
        <f t="array" ref="G177">XLOOKUP(B177,Sheet1!A:A,Sheet1!B:B,"absent des plateformes")</f>
        <v>absent des plateformes</v>
      </c>
    </row>
    <row r="178">
      <c r="A178" s="2" t="s">
        <v>204</v>
      </c>
      <c r="B178" s="3" t="str">
        <f>IFERROR(__xludf.DUMMYFUNCTION("REGEXREPLACE(A178, ""^https?://(www\.)?|/.*"", """")"),"plateforme-imprimeur.fr")</f>
        <v>plateforme-imprimeur.fr</v>
      </c>
      <c r="C178" s="1" t="s">
        <v>8</v>
      </c>
      <c r="D178" s="1">
        <v>1.0</v>
      </c>
      <c r="E178" s="1" t="s">
        <v>25</v>
      </c>
      <c r="F178" s="1" t="s">
        <v>10</v>
      </c>
      <c r="G178" s="4" t="str">
        <f t="array" ref="G178">XLOOKUP(B178,Sheet1!A:A,Sheet1!B:B,"absent des plateformes")</f>
        <v>absent des plateformes</v>
      </c>
    </row>
    <row r="179">
      <c r="A179" s="2" t="s">
        <v>205</v>
      </c>
      <c r="B179" s="3" t="str">
        <f>IFERROR(__xludf.DUMMYFUNCTION("REGEXREPLACE(A179, ""^https?://(www\.)?|/.*"", """")"),"impression-expert.fr")</f>
        <v>impression-expert.fr</v>
      </c>
      <c r="C179" s="1" t="s">
        <v>8</v>
      </c>
      <c r="D179" s="1">
        <v>1.0</v>
      </c>
      <c r="E179" s="1" t="s">
        <v>13</v>
      </c>
      <c r="F179" s="1" t="s">
        <v>10</v>
      </c>
      <c r="G179" s="4" t="str">
        <f t="array" ref="G179">XLOOKUP(B179,Sheet1!A:A,Sheet1!B:B,"absent des plateformes")</f>
        <v>absent des plateformes</v>
      </c>
    </row>
    <row r="180">
      <c r="A180" s="2" t="s">
        <v>206</v>
      </c>
      <c r="B180" s="3" t="str">
        <f>IFERROR(__xludf.DUMMYFUNCTION("REGEXREPLACE(A180, ""^https?://(www\.)?|/.*"", """")"),"fr.trustpilot.com")</f>
        <v>fr.trustpilot.com</v>
      </c>
      <c r="C180" s="1" t="s">
        <v>8</v>
      </c>
      <c r="D180" s="1">
        <v>1.0</v>
      </c>
      <c r="E180" s="1" t="s">
        <v>13</v>
      </c>
      <c r="F180" s="1" t="s">
        <v>10</v>
      </c>
      <c r="G180" s="4" t="str">
        <f t="array" ref="G180">XLOOKUP(B180,Sheet1!A:A,Sheet1!B:B,"absent des plateformes")</f>
        <v>absent des plateformes</v>
      </c>
    </row>
    <row r="181">
      <c r="A181" s="2" t="s">
        <v>207</v>
      </c>
      <c r="B181" s="3" t="str">
        <f>IFERROR(__xludf.DUMMYFUNCTION("REGEXREPLACE(A181, ""^https?://(www\.)?|/.*"", """")"),"fr.trustpilot.com")</f>
        <v>fr.trustpilot.com</v>
      </c>
      <c r="C181" s="1" t="s">
        <v>8</v>
      </c>
      <c r="D181" s="1">
        <v>1.0</v>
      </c>
      <c r="E181" s="1" t="s">
        <v>13</v>
      </c>
      <c r="F181" s="1" t="s">
        <v>10</v>
      </c>
      <c r="G181" s="4" t="str">
        <f t="array" ref="G181">XLOOKUP(B181,Sheet1!A:A,Sheet1!B:B,"absent des plateformes")</f>
        <v>absent des plateformes</v>
      </c>
    </row>
    <row r="182">
      <c r="A182" s="2" t="s">
        <v>208</v>
      </c>
      <c r="B182" s="3" t="str">
        <f>IFERROR(__xludf.DUMMYFUNCTION("REGEXREPLACE(A182, ""^https?://(www\.)?|/.*"", """")"),"fr.trustpilot.com")</f>
        <v>fr.trustpilot.com</v>
      </c>
      <c r="C182" s="1" t="s">
        <v>8</v>
      </c>
      <c r="D182" s="1">
        <v>1.0</v>
      </c>
      <c r="E182" s="1" t="s">
        <v>37</v>
      </c>
      <c r="F182" s="1" t="s">
        <v>10</v>
      </c>
      <c r="G182" s="4" t="str">
        <f t="array" ref="G182">XLOOKUP(B182,Sheet1!A:A,Sheet1!B:B,"absent des plateformes")</f>
        <v>absent des plateformes</v>
      </c>
    </row>
    <row r="183">
      <c r="A183" s="2" t="s">
        <v>209</v>
      </c>
      <c r="B183" s="3" t="str">
        <f>IFERROR(__xludf.DUMMYFUNCTION("REGEXREPLACE(A183, ""^https?://(www\.)?|/.*"", """")"),"fr.trustpilot.com")</f>
        <v>fr.trustpilot.com</v>
      </c>
      <c r="C183" s="1" t="s">
        <v>8</v>
      </c>
      <c r="D183" s="1">
        <v>1.0</v>
      </c>
      <c r="E183" s="1" t="s">
        <v>37</v>
      </c>
      <c r="F183" s="1" t="s">
        <v>10</v>
      </c>
      <c r="G183" s="4" t="str">
        <f t="array" ref="G183">XLOOKUP(B183,Sheet1!A:A,Sheet1!B:B,"absent des plateformes")</f>
        <v>absent des plateformes</v>
      </c>
    </row>
    <row r="184">
      <c r="A184" s="2" t="s">
        <v>210</v>
      </c>
      <c r="B184" s="3" t="str">
        <f>IFERROR(__xludf.DUMMYFUNCTION("REGEXREPLACE(A184, ""^https?://(www\.)?|/.*"", """")"),"ruedesgoodies.com")</f>
        <v>ruedesgoodies.com</v>
      </c>
      <c r="C184" s="1" t="s">
        <v>8</v>
      </c>
      <c r="D184" s="1">
        <v>1.0</v>
      </c>
      <c r="E184" s="1" t="s">
        <v>19</v>
      </c>
      <c r="F184" s="1" t="s">
        <v>10</v>
      </c>
      <c r="G184" s="4" t="str">
        <f t="array" ref="G184">XLOOKUP(B184,Sheet1!A:A,Sheet1!B:B,"absent des plateformes")</f>
        <v>absent des plateformes</v>
      </c>
    </row>
    <row r="185">
      <c r="A185" s="2" t="s">
        <v>211</v>
      </c>
      <c r="B185" s="3" t="str">
        <f>IFERROR(__xludf.DUMMYFUNCTION("REGEXREPLACE(A185, ""^https?://(www\.)?|/.*"", """")"),"goodiespub.fr")</f>
        <v>goodiespub.fr</v>
      </c>
      <c r="C185" s="1" t="s">
        <v>8</v>
      </c>
      <c r="D185" s="1">
        <v>1.0</v>
      </c>
      <c r="E185" s="1" t="s">
        <v>19</v>
      </c>
      <c r="F185" s="1" t="s">
        <v>10</v>
      </c>
      <c r="G185" s="4" t="str">
        <f t="array" ref="G185">XLOOKUP(B185,Sheet1!A:A,Sheet1!B:B,"absent des plateformes")</f>
        <v>absent des plateformes</v>
      </c>
    </row>
    <row r="186">
      <c r="A186" s="2" t="s">
        <v>212</v>
      </c>
      <c r="B186" s="3" t="str">
        <f>IFERROR(__xludf.DUMMYFUNCTION("REGEXREPLACE(A186, ""^https?://(www\.)?|/.*"", """")"),"goodiespub.fr")</f>
        <v>goodiespub.fr</v>
      </c>
      <c r="C186" s="1" t="s">
        <v>8</v>
      </c>
      <c r="D186" s="1">
        <v>1.0</v>
      </c>
      <c r="E186" s="1" t="s">
        <v>19</v>
      </c>
      <c r="F186" s="1" t="s">
        <v>10</v>
      </c>
      <c r="G186" s="4" t="str">
        <f t="array" ref="G186">XLOOKUP(B186,Sheet1!A:A,Sheet1!B:B,"absent des plateformes")</f>
        <v>absent des plateformes</v>
      </c>
    </row>
    <row r="187">
      <c r="A187" s="2" t="s">
        <v>213</v>
      </c>
      <c r="B187" s="3" t="str">
        <f>IFERROR(__xludf.DUMMYFUNCTION("REGEXREPLACE(A187, ""^https?://(www\.)?|/.*"", """")"),"objetrama.fr")</f>
        <v>objetrama.fr</v>
      </c>
      <c r="C187" s="1" t="s">
        <v>8</v>
      </c>
      <c r="D187" s="1">
        <v>1.0</v>
      </c>
      <c r="E187" s="1" t="s">
        <v>54</v>
      </c>
      <c r="F187" s="1" t="s">
        <v>10</v>
      </c>
      <c r="G187" s="4" t="str">
        <f t="array" ref="G187">XLOOKUP(B187,Sheet1!A:A,Sheet1!B:B,"absent des plateformes")</f>
        <v>absent des plateformes</v>
      </c>
    </row>
    <row r="188">
      <c r="A188" s="2" t="s">
        <v>214</v>
      </c>
      <c r="B188" s="3" t="str">
        <f>IFERROR(__xludf.DUMMYFUNCTION("REGEXREPLACE(A188, ""^https?://(www\.)?|/.*"", """")"),"objetrama.fr")</f>
        <v>objetrama.fr</v>
      </c>
      <c r="C188" s="1" t="s">
        <v>8</v>
      </c>
      <c r="D188" s="1">
        <v>1.0</v>
      </c>
      <c r="E188" s="1" t="s">
        <v>54</v>
      </c>
      <c r="F188" s="1" t="s">
        <v>10</v>
      </c>
      <c r="G188" s="4" t="str">
        <f t="array" ref="G188">XLOOKUP(B188,Sheet1!A:A,Sheet1!B:B,"absent des plateformes")</f>
        <v>absent des plateformes</v>
      </c>
    </row>
    <row r="189">
      <c r="A189" s="2" t="s">
        <v>215</v>
      </c>
      <c r="B189" s="3" t="str">
        <f>IFERROR(__xludf.DUMMYFUNCTION("REGEXREPLACE(A189, ""^https?://(www\.)?|/.*"", """")"),"objetrama.fr")</f>
        <v>objetrama.fr</v>
      </c>
      <c r="C189" s="1" t="s">
        <v>8</v>
      </c>
      <c r="D189" s="1">
        <v>1.0</v>
      </c>
      <c r="E189" s="1" t="s">
        <v>19</v>
      </c>
      <c r="F189" s="1" t="s">
        <v>10</v>
      </c>
      <c r="G189" s="4" t="str">
        <f t="array" ref="G189">XLOOKUP(B189,Sheet1!A:A,Sheet1!B:B,"absent des plateformes")</f>
        <v>absent des plateformes</v>
      </c>
    </row>
    <row r="190">
      <c r="A190" s="2" t="s">
        <v>216</v>
      </c>
      <c r="B190" s="3" t="str">
        <f>IFERROR(__xludf.DUMMYFUNCTION("REGEXREPLACE(A190, ""^https?://(www\.)?|/.*"", """")"),"objets-personnalisables.com")</f>
        <v>objets-personnalisables.com</v>
      </c>
      <c r="C190" s="1" t="s">
        <v>8</v>
      </c>
      <c r="D190" s="1">
        <v>1.0</v>
      </c>
      <c r="E190" s="1" t="s">
        <v>19</v>
      </c>
      <c r="F190" s="1" t="s">
        <v>10</v>
      </c>
      <c r="G190" s="4" t="str">
        <f t="array" ref="G190">XLOOKUP(B190,Sheet1!A:A,Sheet1!B:B,"absent des plateformes")</f>
        <v>absent des plateformes</v>
      </c>
    </row>
    <row r="191">
      <c r="A191" s="2" t="s">
        <v>217</v>
      </c>
      <c r="B191" s="3" t="str">
        <f>IFERROR(__xludf.DUMMYFUNCTION("REGEXREPLACE(A191, ""^https?://(www\.)?|/.*"", """")"),"allogoodies.com")</f>
        <v>allogoodies.com</v>
      </c>
      <c r="C191" s="1" t="s">
        <v>8</v>
      </c>
      <c r="D191" s="1">
        <v>1.0</v>
      </c>
      <c r="E191" s="1" t="s">
        <v>19</v>
      </c>
      <c r="F191" s="1" t="s">
        <v>10</v>
      </c>
      <c r="G191" s="4" t="str">
        <f t="array" ref="G191">XLOOKUP(B191,Sheet1!A:A,Sheet1!B:B,"absent des plateformes")</f>
        <v>absent des plateformes</v>
      </c>
    </row>
    <row r="192">
      <c r="A192" s="2" t="s">
        <v>218</v>
      </c>
      <c r="B192" s="3" t="str">
        <f>IFERROR(__xludf.DUMMYFUNCTION("REGEXREPLACE(A192, ""^https?://(www\.)?|/.*"", """")"),"e-goodies.fr")</f>
        <v>e-goodies.fr</v>
      </c>
      <c r="C192" s="1" t="s">
        <v>8</v>
      </c>
      <c r="D192" s="1">
        <v>1.0</v>
      </c>
      <c r="E192" s="1" t="s">
        <v>19</v>
      </c>
      <c r="F192" s="1" t="s">
        <v>10</v>
      </c>
      <c r="G192" s="4" t="str">
        <f t="array" ref="G192">XLOOKUP(B192,Sheet1!A:A,Sheet1!B:B,"absent des plateformes")</f>
        <v>absent des plateformes</v>
      </c>
    </row>
    <row r="193">
      <c r="A193" s="2" t="s">
        <v>219</v>
      </c>
      <c r="B193" s="3" t="str">
        <f>IFERROR(__xludf.DUMMYFUNCTION("REGEXREPLACE(A193, ""^https?://(www\.)?|/.*"", """")"),"e-goodies.fr")</f>
        <v>e-goodies.fr</v>
      </c>
      <c r="C193" s="1" t="s">
        <v>8</v>
      </c>
      <c r="D193" s="1">
        <v>1.0</v>
      </c>
      <c r="E193" s="1" t="s">
        <v>54</v>
      </c>
      <c r="F193" s="1" t="s">
        <v>10</v>
      </c>
      <c r="G193" s="4" t="str">
        <f t="array" ref="G193">XLOOKUP(B193,Sheet1!A:A,Sheet1!B:B,"absent des plateformes")</f>
        <v>absent des plateformes</v>
      </c>
    </row>
    <row r="194">
      <c r="A194" s="2" t="s">
        <v>220</v>
      </c>
      <c r="B194" s="3" t="str">
        <f>IFERROR(__xludf.DUMMYFUNCTION("REGEXREPLACE(A194, ""^https?://(www\.)?|/.*"", """")"),"smartobjet.fr")</f>
        <v>smartobjet.fr</v>
      </c>
      <c r="C194" s="1" t="s">
        <v>8</v>
      </c>
      <c r="D194" s="1">
        <v>1.0</v>
      </c>
      <c r="E194" s="1" t="s">
        <v>19</v>
      </c>
      <c r="F194" s="1" t="s">
        <v>10</v>
      </c>
      <c r="G194" s="4" t="str">
        <f t="array" ref="G194">XLOOKUP(B194,Sheet1!A:A,Sheet1!B:B,"absent des plateformes")</f>
        <v>absent des plateformes</v>
      </c>
    </row>
    <row r="195">
      <c r="A195" s="2" t="s">
        <v>221</v>
      </c>
      <c r="B195" s="3" t="str">
        <f>IFERROR(__xludf.DUMMYFUNCTION("REGEXREPLACE(A195, ""^https?://(www\.)?|/.*"", """")"),"alvs.fr")</f>
        <v>alvs.fr</v>
      </c>
      <c r="C195" s="1" t="s">
        <v>8</v>
      </c>
      <c r="D195" s="1">
        <v>1.0</v>
      </c>
      <c r="E195" s="1" t="s">
        <v>19</v>
      </c>
      <c r="F195" s="1" t="s">
        <v>10</v>
      </c>
      <c r="G195" s="4" t="str">
        <f t="array" ref="G195">XLOOKUP(B195,Sheet1!A:A,Sheet1!B:B,"absent des plateformes")</f>
        <v>absent des plateformes</v>
      </c>
    </row>
    <row r="196">
      <c r="A196" s="2" t="s">
        <v>222</v>
      </c>
      <c r="B196" s="3" t="str">
        <f>IFERROR(__xludf.DUMMYFUNCTION("REGEXREPLACE(A196, ""^https?://(www\.)?|/.*"", """")"),"dynamiz.fr")</f>
        <v>dynamiz.fr</v>
      </c>
      <c r="C196" s="1" t="s">
        <v>8</v>
      </c>
      <c r="D196" s="1">
        <v>1.0</v>
      </c>
      <c r="E196" s="1" t="s">
        <v>19</v>
      </c>
      <c r="F196" s="1" t="s">
        <v>10</v>
      </c>
      <c r="G196" s="4" t="str">
        <f t="array" ref="G196">XLOOKUP(B196,Sheet1!A:A,Sheet1!B:B,"absent des plateformes")</f>
        <v>absent des plateformes</v>
      </c>
    </row>
    <row r="197">
      <c r="A197" s="2" t="s">
        <v>223</v>
      </c>
      <c r="B197" s="3" t="str">
        <f>IFERROR(__xludf.DUMMYFUNCTION("REGEXREPLACE(A197, ""^https?://(www\.)?|/.*"", """")"),"dynamiz.fr")</f>
        <v>dynamiz.fr</v>
      </c>
      <c r="C197" s="1" t="s">
        <v>8</v>
      </c>
      <c r="D197" s="1">
        <v>1.0</v>
      </c>
      <c r="E197" s="1" t="s">
        <v>19</v>
      </c>
      <c r="F197" s="1" t="s">
        <v>10</v>
      </c>
      <c r="G197" s="4" t="str">
        <f t="array" ref="G197">XLOOKUP(B197,Sheet1!A:A,Sheet1!B:B,"absent des plateformes")</f>
        <v>absent des plateformes</v>
      </c>
    </row>
    <row r="198">
      <c r="A198" s="2" t="s">
        <v>224</v>
      </c>
      <c r="B198" s="3" t="str">
        <f>IFERROR(__xludf.DUMMYFUNCTION("REGEXREPLACE(A198, ""^https?://(www\.)?|/.*"", """")"),"rapidegoodies.com")</f>
        <v>rapidegoodies.com</v>
      </c>
      <c r="C198" s="1" t="s">
        <v>8</v>
      </c>
      <c r="D198" s="1">
        <v>1.0</v>
      </c>
      <c r="E198" s="1" t="s">
        <v>19</v>
      </c>
      <c r="F198" s="1" t="s">
        <v>10</v>
      </c>
      <c r="G198" s="4" t="str">
        <f t="array" ref="G198">XLOOKUP(B198,Sheet1!A:A,Sheet1!B:B,"absent des plateformes")</f>
        <v>absent des plateformes</v>
      </c>
    </row>
  </sheetData>
  <autoFilter ref="$A$1:$G$198">
    <sortState ref="A1:G198">
      <sortCondition ref="G1:G198"/>
    </sortState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</hyperlinks>
  <drawing r:id="rId19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225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238</v>
      </c>
      <c r="O1" s="1" t="s">
        <v>239</v>
      </c>
      <c r="P1" s="1" t="s">
        <v>240</v>
      </c>
      <c r="Q1" s="1" t="s">
        <v>241</v>
      </c>
      <c r="R1" s="1" t="s">
        <v>242</v>
      </c>
      <c r="S1" s="1" t="s">
        <v>243</v>
      </c>
      <c r="T1" s="1" t="s">
        <v>244</v>
      </c>
      <c r="U1" s="1" t="s">
        <v>245</v>
      </c>
      <c r="V1" s="1" t="s">
        <v>246</v>
      </c>
      <c r="W1" s="1" t="s">
        <v>247</v>
      </c>
      <c r="X1" s="1" t="s">
        <v>248</v>
      </c>
      <c r="Y1" s="1" t="s">
        <v>249</v>
      </c>
      <c r="Z1" s="1" t="s">
        <v>250</v>
      </c>
      <c r="AA1" s="1" t="s">
        <v>251</v>
      </c>
      <c r="AB1" s="1" t="s">
        <v>252</v>
      </c>
      <c r="AC1" s="1" t="s">
        <v>253</v>
      </c>
      <c r="AD1" s="1" t="s">
        <v>254</v>
      </c>
      <c r="AE1" s="1" t="s">
        <v>255</v>
      </c>
      <c r="AF1" s="1" t="s">
        <v>256</v>
      </c>
      <c r="AG1" s="1" t="s">
        <v>257</v>
      </c>
      <c r="AH1" s="1" t="s">
        <v>258</v>
      </c>
      <c r="AI1" s="1" t="s">
        <v>259</v>
      </c>
      <c r="AJ1" s="1" t="s">
        <v>260</v>
      </c>
      <c r="AK1" s="1" t="s">
        <v>261</v>
      </c>
      <c r="AL1" s="1" t="s">
        <v>262</v>
      </c>
      <c r="AM1" s="1" t="s">
        <v>263</v>
      </c>
      <c r="AN1" s="1" t="s">
        <v>264</v>
      </c>
      <c r="AO1" s="1" t="s">
        <v>265</v>
      </c>
      <c r="AP1" s="1" t="s">
        <v>266</v>
      </c>
      <c r="AQ1" s="1" t="s">
        <v>267</v>
      </c>
      <c r="AR1" s="1" t="s">
        <v>268</v>
      </c>
      <c r="AS1" s="1" t="s">
        <v>269</v>
      </c>
      <c r="AT1" s="1" t="s">
        <v>270</v>
      </c>
      <c r="AU1" s="1" t="s">
        <v>271</v>
      </c>
      <c r="AV1" s="1" t="s">
        <v>272</v>
      </c>
      <c r="AW1" s="1" t="s">
        <v>273</v>
      </c>
      <c r="AX1" s="1" t="s">
        <v>274</v>
      </c>
      <c r="AY1" s="1" t="s">
        <v>275</v>
      </c>
      <c r="AZ1" s="1" t="s">
        <v>276</v>
      </c>
      <c r="BA1" s="1" t="s">
        <v>277</v>
      </c>
      <c r="BB1" s="1" t="s">
        <v>278</v>
      </c>
      <c r="BC1" s="1" t="s">
        <v>279</v>
      </c>
      <c r="BD1" s="1" t="s">
        <v>280</v>
      </c>
      <c r="BE1" s="1" t="s">
        <v>281</v>
      </c>
      <c r="BF1" s="1" t="s">
        <v>282</v>
      </c>
      <c r="BG1" s="1" t="s">
        <v>283</v>
      </c>
      <c r="BH1" s="1" t="s">
        <v>284</v>
      </c>
    </row>
    <row r="2">
      <c r="A2" s="2" t="s">
        <v>285</v>
      </c>
      <c r="B2" s="1">
        <v>195.0</v>
      </c>
      <c r="C2" s="1" t="s">
        <v>286</v>
      </c>
      <c r="D2" s="1">
        <v>2235.0</v>
      </c>
      <c r="E2" s="1">
        <v>572.0</v>
      </c>
      <c r="F2" s="1">
        <v>14.0</v>
      </c>
      <c r="G2" s="1">
        <v>39.0</v>
      </c>
      <c r="H2" s="1" t="s">
        <v>287</v>
      </c>
      <c r="I2" s="1">
        <v>50.0</v>
      </c>
      <c r="J2" s="1">
        <v>87.0</v>
      </c>
      <c r="K2" s="1">
        <v>276.0</v>
      </c>
      <c r="L2" s="1">
        <v>796.0</v>
      </c>
      <c r="M2" s="1">
        <v>1.0</v>
      </c>
      <c r="N2" s="1">
        <v>-1.0</v>
      </c>
      <c r="O2" s="1" t="s">
        <v>288</v>
      </c>
      <c r="P2" s="1">
        <v>4464.0</v>
      </c>
      <c r="Q2" s="1">
        <v>368.0</v>
      </c>
      <c r="R2" s="1">
        <v>305.0</v>
      </c>
      <c r="S2" s="1">
        <v>1.0</v>
      </c>
      <c r="T2" s="1">
        <v>0.0</v>
      </c>
      <c r="U2" s="1" t="s">
        <v>289</v>
      </c>
      <c r="V2" s="1" t="s">
        <v>290</v>
      </c>
      <c r="W2" s="1">
        <v>0.0</v>
      </c>
      <c r="X2" s="1">
        <v>662052.0</v>
      </c>
      <c r="Y2" s="1">
        <v>56.0</v>
      </c>
      <c r="Z2" s="1">
        <v>76.0</v>
      </c>
      <c r="AA2" s="1">
        <v>56.0</v>
      </c>
      <c r="AB2" s="1" t="s">
        <v>291</v>
      </c>
      <c r="AC2" s="1">
        <v>0.0</v>
      </c>
      <c r="AD2" s="1">
        <v>0.0</v>
      </c>
      <c r="AE2" s="1">
        <v>0.0</v>
      </c>
      <c r="AF2" s="1">
        <v>0.0</v>
      </c>
      <c r="AG2" s="7">
        <v>45611.97877314815</v>
      </c>
      <c r="AH2" s="1">
        <v>394.0</v>
      </c>
      <c r="AI2" s="1">
        <v>319.0</v>
      </c>
      <c r="AJ2" s="1">
        <v>195.0</v>
      </c>
      <c r="AK2" s="1">
        <v>-2.0</v>
      </c>
      <c r="AL2" s="1">
        <v>-2.0</v>
      </c>
      <c r="AM2" s="1">
        <v>-2.0</v>
      </c>
      <c r="AN2" s="1">
        <v>250.0</v>
      </c>
      <c r="AO2" s="1">
        <v>539.0</v>
      </c>
      <c r="AP2" s="1">
        <v>-2.0</v>
      </c>
      <c r="AQ2" s="1">
        <v>369.0</v>
      </c>
      <c r="AR2" s="1">
        <v>-2.0</v>
      </c>
      <c r="AS2" s="1">
        <v>-2.0</v>
      </c>
      <c r="AT2" s="1">
        <v>222.0</v>
      </c>
      <c r="AU2" s="1">
        <v>311.0</v>
      </c>
      <c r="AV2" s="1">
        <v>-2.0</v>
      </c>
      <c r="AW2" s="1">
        <v>-2.0</v>
      </c>
      <c r="AX2" s="1">
        <v>-2.0</v>
      </c>
      <c r="AY2" s="1">
        <v>-2.0</v>
      </c>
      <c r="AZ2" s="1">
        <v>519.0</v>
      </c>
      <c r="BA2" s="1">
        <v>455.0</v>
      </c>
      <c r="BB2" s="1">
        <v>310.0</v>
      </c>
      <c r="BC2" s="1">
        <v>-2.0</v>
      </c>
      <c r="BD2" s="1">
        <v>-2.0</v>
      </c>
      <c r="BE2" s="1">
        <v>-2.0</v>
      </c>
      <c r="BF2" s="1">
        <v>250.0</v>
      </c>
      <c r="BG2" s="1">
        <v>390.0</v>
      </c>
      <c r="BH2" s="1">
        <v>260.0</v>
      </c>
    </row>
    <row r="3">
      <c r="A3" s="2" t="s">
        <v>292</v>
      </c>
      <c r="B3" s="1">
        <v>99.0</v>
      </c>
      <c r="C3" s="1" t="s">
        <v>293</v>
      </c>
      <c r="D3" s="1">
        <v>169.0</v>
      </c>
      <c r="E3" s="1">
        <v>225.0</v>
      </c>
      <c r="F3" s="1">
        <v>23.0</v>
      </c>
      <c r="G3" s="1">
        <v>34.0</v>
      </c>
      <c r="H3" s="1" t="s">
        <v>294</v>
      </c>
      <c r="I3" s="1">
        <v>29.0</v>
      </c>
      <c r="J3" s="1">
        <v>15.0</v>
      </c>
      <c r="K3" s="1">
        <v>119.0</v>
      </c>
      <c r="L3" s="1">
        <v>37.0</v>
      </c>
      <c r="M3" s="1">
        <v>0.0</v>
      </c>
      <c r="N3" s="1">
        <v>-1.0</v>
      </c>
      <c r="O3" s="1" t="s">
        <v>295</v>
      </c>
      <c r="P3" s="1">
        <v>7227.0</v>
      </c>
      <c r="Q3" s="1">
        <v>110.0</v>
      </c>
      <c r="R3" s="1">
        <v>91.0</v>
      </c>
      <c r="S3" s="1">
        <v>1.0</v>
      </c>
      <c r="T3" s="1">
        <v>0.0</v>
      </c>
      <c r="U3" s="1" t="s">
        <v>291</v>
      </c>
      <c r="V3" s="1" t="s">
        <v>296</v>
      </c>
      <c r="W3" s="1">
        <v>26.0</v>
      </c>
      <c r="X3" s="1">
        <v>4214213.0</v>
      </c>
      <c r="Y3" s="1">
        <v>14.0</v>
      </c>
      <c r="Z3" s="1">
        <v>145.0</v>
      </c>
      <c r="AA3" s="1">
        <v>226.0</v>
      </c>
      <c r="AB3" s="1" t="s">
        <v>291</v>
      </c>
      <c r="AC3" s="1">
        <v>0.0</v>
      </c>
      <c r="AD3" s="1">
        <v>0.0</v>
      </c>
      <c r="AE3" s="1">
        <v>0.0</v>
      </c>
      <c r="AF3" s="1">
        <v>0.0</v>
      </c>
      <c r="AG3" s="7">
        <v>45611.9766087963</v>
      </c>
      <c r="AH3" s="1">
        <v>125.0</v>
      </c>
      <c r="AI3" s="1">
        <v>99.0</v>
      </c>
      <c r="AJ3" s="1">
        <v>163.0</v>
      </c>
      <c r="AK3" s="1">
        <v>184.0</v>
      </c>
      <c r="AL3" s="1">
        <v>-2.0</v>
      </c>
      <c r="AM3" s="1">
        <v>-2.0</v>
      </c>
      <c r="AN3" s="1">
        <v>-2.0</v>
      </c>
      <c r="AO3" s="1">
        <v>231.0</v>
      </c>
      <c r="AP3" s="1">
        <v>185.0</v>
      </c>
      <c r="AQ3" s="1">
        <v>165.0</v>
      </c>
      <c r="AR3" s="1">
        <v>-2.0</v>
      </c>
      <c r="AS3" s="1">
        <v>-2.0</v>
      </c>
      <c r="AT3" s="1">
        <v>357.0</v>
      </c>
      <c r="AU3" s="1">
        <v>206.0</v>
      </c>
      <c r="AV3" s="1">
        <v>-2.0</v>
      </c>
      <c r="AW3" s="1">
        <v>954.0</v>
      </c>
      <c r="AX3" s="1">
        <v>270.0</v>
      </c>
      <c r="AY3" s="1">
        <v>220.0</v>
      </c>
      <c r="AZ3" s="1">
        <v>288.0</v>
      </c>
      <c r="BA3" s="1">
        <v>235.0</v>
      </c>
      <c r="BB3" s="1">
        <v>100.0</v>
      </c>
      <c r="BC3" s="1">
        <v>321.0</v>
      </c>
      <c r="BD3" s="1">
        <v>214.0</v>
      </c>
      <c r="BE3" s="1">
        <v>405.0</v>
      </c>
      <c r="BF3" s="1">
        <v>250.0</v>
      </c>
      <c r="BG3" s="1">
        <v>265.0</v>
      </c>
      <c r="BH3" s="1">
        <v>-2.0</v>
      </c>
    </row>
    <row r="4">
      <c r="A4" s="2" t="s">
        <v>297</v>
      </c>
      <c r="B4" s="1">
        <v>80.0</v>
      </c>
      <c r="C4" s="1" t="s">
        <v>298</v>
      </c>
      <c r="D4" s="1">
        <v>2.0</v>
      </c>
      <c r="E4" s="1">
        <v>242.0</v>
      </c>
      <c r="F4" s="1">
        <v>15.0</v>
      </c>
      <c r="G4" s="1">
        <v>34.0</v>
      </c>
      <c r="H4" s="1" t="s">
        <v>299</v>
      </c>
      <c r="I4" s="1">
        <v>20.0</v>
      </c>
      <c r="J4" s="1">
        <v>0.0</v>
      </c>
      <c r="K4" s="1">
        <v>5.0</v>
      </c>
      <c r="L4" s="1">
        <v>0.0</v>
      </c>
      <c r="M4" s="1">
        <v>0.0</v>
      </c>
      <c r="N4" s="1">
        <v>-1.0</v>
      </c>
      <c r="O4" s="1" t="s">
        <v>300</v>
      </c>
      <c r="P4" s="1">
        <v>317.0</v>
      </c>
      <c r="Q4" s="1">
        <v>113.0</v>
      </c>
      <c r="R4" s="1">
        <v>99.0</v>
      </c>
      <c r="S4" s="1">
        <v>0.0</v>
      </c>
      <c r="T4" s="1">
        <v>0.0</v>
      </c>
      <c r="U4" s="1" t="s">
        <v>291</v>
      </c>
      <c r="V4" s="1" t="s">
        <v>301</v>
      </c>
      <c r="W4" s="1">
        <v>4.0</v>
      </c>
      <c r="X4" s="1">
        <v>8029097.0</v>
      </c>
      <c r="Y4" s="1">
        <v>0.0</v>
      </c>
      <c r="Z4" s="1">
        <v>0.0</v>
      </c>
      <c r="AA4" s="1">
        <v>5.0</v>
      </c>
      <c r="AB4" s="1" t="s">
        <v>291</v>
      </c>
      <c r="AC4" s="1">
        <v>0.0</v>
      </c>
      <c r="AD4" s="1">
        <v>0.0</v>
      </c>
      <c r="AE4" s="1">
        <v>0.0</v>
      </c>
      <c r="AF4" s="1">
        <v>0.0</v>
      </c>
      <c r="AG4" s="7">
        <v>46004.132685185185</v>
      </c>
      <c r="AH4" s="1">
        <v>-2.0</v>
      </c>
      <c r="AI4" s="1">
        <v>-2.0</v>
      </c>
      <c r="AJ4" s="1">
        <v>-2.0</v>
      </c>
      <c r="AK4" s="1">
        <v>-2.0</v>
      </c>
      <c r="AL4" s="1">
        <v>-2.0</v>
      </c>
      <c r="AM4" s="1">
        <v>-2.0</v>
      </c>
      <c r="AN4" s="1">
        <v>-2.0</v>
      </c>
      <c r="AO4" s="1">
        <v>80.0</v>
      </c>
      <c r="AP4" s="1">
        <v>-2.0</v>
      </c>
      <c r="AQ4" s="1">
        <v>-2.0</v>
      </c>
      <c r="AR4" s="1">
        <v>-2.0</v>
      </c>
      <c r="AS4" s="1">
        <v>-2.0</v>
      </c>
      <c r="AT4" s="1">
        <v>-2.0</v>
      </c>
      <c r="AU4" s="1">
        <v>-2.0</v>
      </c>
      <c r="AV4" s="1">
        <v>-2.0</v>
      </c>
      <c r="AW4" s="1">
        <v>-2.0</v>
      </c>
      <c r="AX4" s="1">
        <v>-2.0</v>
      </c>
      <c r="AY4" s="1">
        <v>-2.0</v>
      </c>
      <c r="AZ4" s="1">
        <v>-2.0</v>
      </c>
      <c r="BA4" s="1">
        <v>-2.0</v>
      </c>
      <c r="BB4" s="1">
        <v>-2.0</v>
      </c>
      <c r="BC4" s="1">
        <v>-2.0</v>
      </c>
      <c r="BD4" s="1">
        <v>-2.0</v>
      </c>
      <c r="BE4" s="1">
        <v>-2.0</v>
      </c>
      <c r="BF4" s="1">
        <v>-2.0</v>
      </c>
      <c r="BG4" s="1">
        <v>-2.0</v>
      </c>
      <c r="BH4" s="1">
        <v>-2.0</v>
      </c>
    </row>
    <row r="5">
      <c r="A5" s="2" t="s">
        <v>302</v>
      </c>
      <c r="B5" s="1">
        <v>145.0</v>
      </c>
      <c r="C5" s="1" t="s">
        <v>293</v>
      </c>
      <c r="D5" s="1">
        <v>140.0</v>
      </c>
      <c r="E5" s="1">
        <v>36.0</v>
      </c>
      <c r="F5" s="1">
        <v>11.0</v>
      </c>
      <c r="G5" s="1">
        <v>28.0</v>
      </c>
      <c r="H5" s="1" t="s">
        <v>303</v>
      </c>
      <c r="I5" s="1">
        <v>9.0</v>
      </c>
      <c r="J5" s="1">
        <v>11.0</v>
      </c>
      <c r="K5" s="1">
        <v>23.0</v>
      </c>
      <c r="L5" s="1">
        <v>12.0</v>
      </c>
      <c r="M5" s="1">
        <v>0.0</v>
      </c>
      <c r="N5" s="1">
        <v>-1.0</v>
      </c>
      <c r="O5" s="1" t="s">
        <v>304</v>
      </c>
      <c r="P5" s="1">
        <v>102.0</v>
      </c>
      <c r="Q5" s="1">
        <v>35.0</v>
      </c>
      <c r="R5" s="1">
        <v>30.0</v>
      </c>
      <c r="S5" s="1">
        <v>0.0</v>
      </c>
      <c r="T5" s="1">
        <v>0.0</v>
      </c>
      <c r="U5" s="1" t="s">
        <v>305</v>
      </c>
      <c r="V5" s="1" t="s">
        <v>296</v>
      </c>
      <c r="W5" s="1">
        <v>7.0</v>
      </c>
      <c r="X5" s="1">
        <v>1.8280632E7</v>
      </c>
      <c r="Y5" s="1">
        <v>2.0</v>
      </c>
      <c r="Z5" s="1">
        <v>4.0</v>
      </c>
      <c r="AA5" s="1">
        <v>1.0</v>
      </c>
      <c r="AB5" s="1" t="s">
        <v>291</v>
      </c>
      <c r="AC5" s="1">
        <v>0.0</v>
      </c>
      <c r="AD5" s="1">
        <v>0.0</v>
      </c>
      <c r="AE5" s="1">
        <v>0.0</v>
      </c>
      <c r="AF5" s="1">
        <v>0.0</v>
      </c>
      <c r="AG5" s="7">
        <v>45679.71041666667</v>
      </c>
      <c r="AH5" s="1">
        <v>-2.0</v>
      </c>
      <c r="AI5" s="1">
        <v>145.0</v>
      </c>
      <c r="AJ5" s="1">
        <v>-2.0</v>
      </c>
      <c r="AK5" s="1">
        <v>-2.0</v>
      </c>
      <c r="AL5" s="1">
        <v>-2.0</v>
      </c>
      <c r="AM5" s="1">
        <v>-2.0</v>
      </c>
      <c r="AN5" s="1">
        <v>-2.0</v>
      </c>
      <c r="AO5" s="1">
        <v>-2.0</v>
      </c>
      <c r="AP5" s="1">
        <v>-2.0</v>
      </c>
      <c r="AQ5" s="1">
        <v>-2.0</v>
      </c>
      <c r="AR5" s="1">
        <v>-2.0</v>
      </c>
      <c r="AS5" s="1">
        <v>-2.0</v>
      </c>
      <c r="AT5" s="1">
        <v>-2.0</v>
      </c>
      <c r="AU5" s="1">
        <v>-2.0</v>
      </c>
      <c r="AV5" s="1">
        <v>-2.0</v>
      </c>
      <c r="AW5" s="1">
        <v>-2.0</v>
      </c>
      <c r="AX5" s="1">
        <v>-2.0</v>
      </c>
      <c r="AY5" s="1">
        <v>-2.0</v>
      </c>
      <c r="AZ5" s="1">
        <v>-2.0</v>
      </c>
      <c r="BA5" s="1">
        <v>-2.0</v>
      </c>
      <c r="BB5" s="1">
        <v>-2.0</v>
      </c>
      <c r="BC5" s="1">
        <v>-2.0</v>
      </c>
      <c r="BD5" s="1">
        <v>-2.0</v>
      </c>
      <c r="BE5" s="1">
        <v>-2.0</v>
      </c>
      <c r="BF5" s="1">
        <v>-2.0</v>
      </c>
      <c r="BG5" s="1">
        <v>-2.0</v>
      </c>
      <c r="BH5" s="1">
        <v>-2.0</v>
      </c>
    </row>
    <row r="6">
      <c r="A6" s="2" t="s">
        <v>306</v>
      </c>
      <c r="B6" s="1">
        <v>257.0</v>
      </c>
      <c r="C6" s="1" t="s">
        <v>307</v>
      </c>
      <c r="D6" s="1">
        <v>24483.0</v>
      </c>
      <c r="E6" s="1">
        <v>1254.0</v>
      </c>
      <c r="F6" s="1">
        <v>18.0</v>
      </c>
      <c r="G6" s="1">
        <v>36.0</v>
      </c>
      <c r="H6" s="1" t="s">
        <v>308</v>
      </c>
      <c r="I6" s="1">
        <v>67.0</v>
      </c>
      <c r="J6" s="1">
        <v>123.0</v>
      </c>
      <c r="K6" s="1">
        <v>615.0</v>
      </c>
      <c r="L6" s="1">
        <v>3036.0</v>
      </c>
      <c r="M6" s="1">
        <v>0.0</v>
      </c>
      <c r="N6" s="1">
        <v>-1.0</v>
      </c>
      <c r="O6" s="1" t="s">
        <v>309</v>
      </c>
      <c r="P6" s="1">
        <v>80292.0</v>
      </c>
      <c r="Q6" s="1">
        <v>722.0</v>
      </c>
      <c r="R6" s="1">
        <v>496.0</v>
      </c>
      <c r="S6" s="1">
        <v>9.0</v>
      </c>
      <c r="T6" s="1">
        <v>2.0</v>
      </c>
      <c r="U6" s="1" t="s">
        <v>296</v>
      </c>
      <c r="V6" s="1" t="s">
        <v>296</v>
      </c>
      <c r="W6" s="1">
        <v>14.0</v>
      </c>
      <c r="X6" s="1">
        <v>148471.0</v>
      </c>
      <c r="Y6" s="1">
        <v>149.0</v>
      </c>
      <c r="Z6" s="1">
        <v>846.0</v>
      </c>
      <c r="AA6" s="1">
        <v>1374.0</v>
      </c>
      <c r="AB6" s="1" t="s">
        <v>291</v>
      </c>
      <c r="AC6" s="1">
        <v>30.0</v>
      </c>
      <c r="AD6" s="1">
        <v>40.0</v>
      </c>
      <c r="AE6" s="1">
        <v>31.0</v>
      </c>
      <c r="AF6" s="1">
        <v>32.0</v>
      </c>
      <c r="AG6" s="7">
        <v>45611.977002314816</v>
      </c>
      <c r="AH6" s="1">
        <v>257.0</v>
      </c>
      <c r="AI6" s="1">
        <v>259.0</v>
      </c>
      <c r="AJ6" s="1">
        <v>288.0</v>
      </c>
      <c r="AK6" s="1">
        <v>343.0</v>
      </c>
      <c r="AL6" s="1">
        <v>339.0</v>
      </c>
      <c r="AM6" s="1">
        <v>-2.0</v>
      </c>
      <c r="AN6" s="1">
        <v>569.0</v>
      </c>
      <c r="AO6" s="1">
        <v>353.0</v>
      </c>
      <c r="AP6" s="1">
        <v>344.0</v>
      </c>
      <c r="AQ6" s="1">
        <v>-2.0</v>
      </c>
      <c r="AR6" s="1">
        <v>470.0</v>
      </c>
      <c r="AS6" s="1">
        <v>279.0</v>
      </c>
      <c r="AT6" s="1">
        <v>358.0</v>
      </c>
      <c r="AU6" s="1">
        <v>386.0</v>
      </c>
      <c r="AV6" s="1">
        <v>-2.0</v>
      </c>
      <c r="AW6" s="1">
        <v>-2.0</v>
      </c>
      <c r="AX6" s="1">
        <v>380.0</v>
      </c>
      <c r="AY6" s="1">
        <v>321.0</v>
      </c>
      <c r="AZ6" s="1">
        <v>688.0</v>
      </c>
      <c r="BA6" s="1">
        <v>540.0</v>
      </c>
      <c r="BB6" s="1">
        <v>930.0</v>
      </c>
      <c r="BC6" s="1">
        <v>-2.0</v>
      </c>
      <c r="BD6" s="1">
        <v>-2.0</v>
      </c>
      <c r="BE6" s="1">
        <v>-2.0</v>
      </c>
      <c r="BF6" s="1">
        <v>-2.0</v>
      </c>
      <c r="BG6" s="1">
        <v>760.0</v>
      </c>
      <c r="BH6" s="1">
        <v>-2.0</v>
      </c>
    </row>
    <row r="7">
      <c r="A7" s="2" t="s">
        <v>310</v>
      </c>
      <c r="B7" s="1">
        <v>22.0</v>
      </c>
      <c r="C7" s="1" t="s">
        <v>293</v>
      </c>
      <c r="D7" s="1">
        <v>17.0</v>
      </c>
      <c r="E7" s="1">
        <v>126.0</v>
      </c>
      <c r="F7" s="1">
        <v>25.0</v>
      </c>
      <c r="G7" s="1">
        <v>41.0</v>
      </c>
      <c r="H7" s="1" t="s">
        <v>311</v>
      </c>
      <c r="I7" s="1">
        <v>26.0</v>
      </c>
      <c r="J7" s="1">
        <v>0.0</v>
      </c>
      <c r="K7" s="1">
        <v>8.0</v>
      </c>
      <c r="L7" s="1">
        <v>2.0</v>
      </c>
      <c r="M7" s="1">
        <v>0.0</v>
      </c>
      <c r="N7" s="1">
        <v>-1.0</v>
      </c>
      <c r="O7" s="1" t="s">
        <v>312</v>
      </c>
      <c r="P7" s="1">
        <v>451.0</v>
      </c>
      <c r="Q7" s="1">
        <v>84.0</v>
      </c>
      <c r="R7" s="1">
        <v>66.0</v>
      </c>
      <c r="S7" s="1">
        <v>0.0</v>
      </c>
      <c r="T7" s="1">
        <v>0.0</v>
      </c>
      <c r="U7" s="1" t="s">
        <v>291</v>
      </c>
      <c r="V7" s="1" t="s">
        <v>296</v>
      </c>
      <c r="W7" s="1">
        <v>5.0</v>
      </c>
      <c r="X7" s="1">
        <v>5792052.0</v>
      </c>
      <c r="Y7" s="1">
        <v>1.0</v>
      </c>
      <c r="Z7" s="1">
        <v>9.0</v>
      </c>
      <c r="AA7" s="1">
        <v>19.0</v>
      </c>
      <c r="AB7" s="1" t="s">
        <v>291</v>
      </c>
      <c r="AC7" s="1">
        <v>0.0</v>
      </c>
      <c r="AD7" s="1">
        <v>0.0</v>
      </c>
      <c r="AE7" s="1">
        <v>0.0</v>
      </c>
      <c r="AF7" s="1">
        <v>0.0</v>
      </c>
      <c r="AG7" s="7">
        <v>45611.97729166667</v>
      </c>
      <c r="AH7" s="1">
        <v>23.0</v>
      </c>
      <c r="AI7" s="1">
        <v>22.0</v>
      </c>
      <c r="AJ7" s="1">
        <v>72.0</v>
      </c>
      <c r="AK7" s="1">
        <v>-2.0</v>
      </c>
      <c r="AL7" s="1">
        <v>87.0</v>
      </c>
      <c r="AM7" s="1">
        <v>-2.0</v>
      </c>
      <c r="AN7" s="1">
        <v>-2.0</v>
      </c>
      <c r="AO7" s="1">
        <v>108.0</v>
      </c>
      <c r="AP7" s="1">
        <v>-2.0</v>
      </c>
      <c r="AQ7" s="1">
        <v>-2.0</v>
      </c>
      <c r="AR7" s="1">
        <v>-2.0</v>
      </c>
      <c r="AS7" s="1">
        <v>-2.0</v>
      </c>
      <c r="AT7" s="1">
        <v>-2.0</v>
      </c>
      <c r="AU7" s="1">
        <v>-2.0</v>
      </c>
      <c r="AV7" s="1">
        <v>-2.0</v>
      </c>
      <c r="AW7" s="1">
        <v>-2.0</v>
      </c>
      <c r="AX7" s="1">
        <v>-2.0</v>
      </c>
      <c r="AY7" s="1">
        <v>-2.0</v>
      </c>
      <c r="AZ7" s="1">
        <v>-2.0</v>
      </c>
      <c r="BA7" s="1">
        <v>215.0</v>
      </c>
      <c r="BB7" s="1">
        <v>-2.0</v>
      </c>
      <c r="BC7" s="1">
        <v>-2.0</v>
      </c>
      <c r="BD7" s="1">
        <v>-2.0</v>
      </c>
      <c r="BE7" s="1">
        <v>-2.0</v>
      </c>
      <c r="BF7" s="1">
        <v>-2.0</v>
      </c>
      <c r="BG7" s="1">
        <v>-2.0</v>
      </c>
      <c r="BH7" s="1">
        <v>-2.0</v>
      </c>
    </row>
    <row r="8">
      <c r="A8" s="2" t="s">
        <v>313</v>
      </c>
      <c r="B8" s="1">
        <v>46.0</v>
      </c>
      <c r="C8" s="1" t="s">
        <v>298</v>
      </c>
      <c r="D8" s="1">
        <v>0.0</v>
      </c>
      <c r="E8" s="1">
        <v>101.0</v>
      </c>
      <c r="F8" s="1">
        <v>18.0</v>
      </c>
      <c r="G8" s="1">
        <v>33.0</v>
      </c>
      <c r="H8" s="1" t="s">
        <v>314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-1.0</v>
      </c>
      <c r="O8" s="1" t="s">
        <v>315</v>
      </c>
      <c r="P8" s="1">
        <v>165.0</v>
      </c>
      <c r="Q8" s="1">
        <v>82.0</v>
      </c>
      <c r="R8" s="1">
        <v>74.0</v>
      </c>
      <c r="S8" s="1">
        <v>0.0</v>
      </c>
      <c r="T8" s="1">
        <v>0.0</v>
      </c>
      <c r="U8" s="1" t="s">
        <v>291</v>
      </c>
      <c r="V8" s="1" t="s">
        <v>316</v>
      </c>
      <c r="W8" s="1">
        <v>4.0</v>
      </c>
      <c r="X8" s="1">
        <v>7.5057132E7</v>
      </c>
      <c r="Y8" s="1">
        <v>1.0</v>
      </c>
      <c r="Z8" s="1">
        <v>0.0</v>
      </c>
      <c r="AA8" s="1">
        <v>8.0</v>
      </c>
      <c r="AC8" s="1">
        <v>0.0</v>
      </c>
      <c r="AD8" s="1">
        <v>0.0</v>
      </c>
      <c r="AE8" s="1">
        <v>0.0</v>
      </c>
      <c r="AF8" s="1">
        <v>0.0</v>
      </c>
      <c r="AG8" s="7">
        <v>46107.134375</v>
      </c>
      <c r="AH8" s="1">
        <v>-2.0</v>
      </c>
      <c r="AI8" s="1">
        <v>-2.0</v>
      </c>
      <c r="AJ8" s="1">
        <v>-2.0</v>
      </c>
      <c r="AK8" s="1">
        <v>-2.0</v>
      </c>
      <c r="AL8" s="1">
        <v>-2.0</v>
      </c>
      <c r="AM8" s="1">
        <v>-2.0</v>
      </c>
      <c r="AN8" s="1">
        <v>-2.0</v>
      </c>
      <c r="AO8" s="1">
        <v>46.0</v>
      </c>
      <c r="AP8" s="1">
        <v>-2.0</v>
      </c>
      <c r="AQ8" s="1">
        <v>-2.0</v>
      </c>
      <c r="AR8" s="1">
        <v>-2.0</v>
      </c>
      <c r="AS8" s="1">
        <v>-2.0</v>
      </c>
      <c r="AT8" s="1">
        <v>-2.0</v>
      </c>
      <c r="AU8" s="1">
        <v>-2.0</v>
      </c>
      <c r="AV8" s="1">
        <v>-2.0</v>
      </c>
      <c r="AW8" s="1">
        <v>-2.0</v>
      </c>
      <c r="AX8" s="1">
        <v>-2.0</v>
      </c>
      <c r="AY8" s="1">
        <v>-2.0</v>
      </c>
      <c r="AZ8" s="1">
        <v>-2.0</v>
      </c>
      <c r="BA8" s="1">
        <v>-2.0</v>
      </c>
      <c r="BB8" s="1">
        <v>-2.0</v>
      </c>
      <c r="BC8" s="1">
        <v>-2.0</v>
      </c>
      <c r="BD8" s="1">
        <v>-2.0</v>
      </c>
      <c r="BE8" s="1">
        <v>-2.0</v>
      </c>
      <c r="BF8" s="1">
        <v>-2.0</v>
      </c>
      <c r="BG8" s="1">
        <v>-2.0</v>
      </c>
      <c r="BH8" s="1">
        <v>-2.0</v>
      </c>
    </row>
    <row r="9">
      <c r="A9" s="2" t="s">
        <v>317</v>
      </c>
      <c r="B9" s="1">
        <v>1054.0</v>
      </c>
      <c r="C9" s="1" t="s">
        <v>293</v>
      </c>
      <c r="D9" s="1">
        <v>23520.0</v>
      </c>
      <c r="E9" s="1">
        <v>1514.0</v>
      </c>
      <c r="F9" s="1">
        <v>26.0</v>
      </c>
      <c r="G9" s="1">
        <v>31.0</v>
      </c>
      <c r="H9" s="1" t="s">
        <v>318</v>
      </c>
      <c r="I9" s="1">
        <v>62.0</v>
      </c>
      <c r="J9" s="1">
        <v>1055.0</v>
      </c>
      <c r="K9" s="1">
        <v>5673.0</v>
      </c>
      <c r="L9" s="1">
        <v>9278.0</v>
      </c>
      <c r="M9" s="1">
        <v>0.0</v>
      </c>
      <c r="N9" s="1">
        <v>-1.0</v>
      </c>
      <c r="O9" s="1" t="s">
        <v>319</v>
      </c>
      <c r="P9" s="1">
        <v>58645.0</v>
      </c>
      <c r="Q9" s="1">
        <v>891.0</v>
      </c>
      <c r="R9" s="1">
        <v>653.0</v>
      </c>
      <c r="S9" s="1">
        <v>6.0</v>
      </c>
      <c r="T9" s="1">
        <v>0.0</v>
      </c>
      <c r="U9" s="1" t="s">
        <v>291</v>
      </c>
      <c r="V9" s="1" t="s">
        <v>320</v>
      </c>
      <c r="W9" s="1">
        <v>4.0</v>
      </c>
      <c r="X9" s="1">
        <v>223014.0</v>
      </c>
      <c r="Y9" s="1">
        <v>1198.0</v>
      </c>
      <c r="Z9" s="1">
        <v>1522.0</v>
      </c>
      <c r="AA9" s="1">
        <v>1683.0</v>
      </c>
      <c r="AB9" s="1" t="s">
        <v>291</v>
      </c>
      <c r="AC9" s="1">
        <v>0.0</v>
      </c>
      <c r="AD9" s="1">
        <v>0.0</v>
      </c>
      <c r="AE9" s="1">
        <v>0.0</v>
      </c>
      <c r="AF9" s="1">
        <v>0.0</v>
      </c>
      <c r="AG9" s="7">
        <v>45611.97998842593</v>
      </c>
      <c r="AH9" s="1">
        <v>-2.0</v>
      </c>
      <c r="AI9" s="1">
        <v>1054.0</v>
      </c>
      <c r="AJ9" s="1">
        <v>-2.0</v>
      </c>
      <c r="AK9" s="1">
        <v>-2.0</v>
      </c>
      <c r="AL9" s="1">
        <v>-2.0</v>
      </c>
      <c r="AM9" s="1">
        <v>-2.0</v>
      </c>
      <c r="AN9" s="1">
        <v>-2.0</v>
      </c>
      <c r="AO9" s="1">
        <v>-2.0</v>
      </c>
      <c r="AP9" s="1">
        <v>-2.0</v>
      </c>
      <c r="AQ9" s="1">
        <v>-2.0</v>
      </c>
      <c r="AR9" s="1">
        <v>-2.0</v>
      </c>
      <c r="AS9" s="1">
        <v>-2.0</v>
      </c>
      <c r="AT9" s="1">
        <v>-2.0</v>
      </c>
      <c r="AU9" s="1">
        <v>-2.0</v>
      </c>
      <c r="AV9" s="1">
        <v>-2.0</v>
      </c>
      <c r="AW9" s="1">
        <v>1092.0</v>
      </c>
      <c r="AX9" s="1">
        <v>-2.0</v>
      </c>
      <c r="AY9" s="1">
        <v>-2.0</v>
      </c>
      <c r="AZ9" s="1">
        <v>1200.0</v>
      </c>
      <c r="BA9" s="1">
        <v>-2.0</v>
      </c>
      <c r="BB9" s="1">
        <v>-2.0</v>
      </c>
      <c r="BC9" s="1">
        <v>-2.0</v>
      </c>
      <c r="BD9" s="1">
        <v>-2.0</v>
      </c>
      <c r="BE9" s="1">
        <v>-2.0</v>
      </c>
      <c r="BF9" s="1">
        <v>-2.0</v>
      </c>
      <c r="BG9" s="1">
        <v>-2.0</v>
      </c>
      <c r="BH9" s="1">
        <v>-2.0</v>
      </c>
    </row>
    <row r="10">
      <c r="A10" s="2" t="s">
        <v>321</v>
      </c>
      <c r="B10" s="1">
        <v>50.0</v>
      </c>
      <c r="C10" s="1" t="s">
        <v>293</v>
      </c>
      <c r="D10" s="1">
        <v>1225.0</v>
      </c>
      <c r="E10" s="1">
        <v>197.0</v>
      </c>
      <c r="F10" s="1">
        <v>27.0</v>
      </c>
      <c r="G10" s="1">
        <v>34.0</v>
      </c>
      <c r="H10" s="1" t="s">
        <v>322</v>
      </c>
      <c r="I10" s="1">
        <v>8.0</v>
      </c>
      <c r="J10" s="1">
        <v>58.0</v>
      </c>
      <c r="K10" s="1">
        <v>277.0</v>
      </c>
      <c r="L10" s="1">
        <v>469.0</v>
      </c>
      <c r="M10" s="1">
        <v>0.0</v>
      </c>
      <c r="N10" s="1">
        <v>-1.0</v>
      </c>
      <c r="O10" s="2" t="s">
        <v>323</v>
      </c>
      <c r="P10" s="1">
        <v>375.0</v>
      </c>
      <c r="Q10" s="1">
        <v>100.0</v>
      </c>
      <c r="R10" s="1">
        <v>96.0</v>
      </c>
      <c r="S10" s="1">
        <v>0.0</v>
      </c>
      <c r="T10" s="1">
        <v>0.0</v>
      </c>
      <c r="U10" s="1" t="s">
        <v>291</v>
      </c>
      <c r="V10" s="1" t="s">
        <v>324</v>
      </c>
      <c r="W10" s="1">
        <v>12.0</v>
      </c>
      <c r="X10" s="1">
        <v>1.9723967E7</v>
      </c>
      <c r="Y10" s="1">
        <v>69.0</v>
      </c>
      <c r="Z10" s="1">
        <v>105.0</v>
      </c>
      <c r="AA10" s="1">
        <v>126.0</v>
      </c>
      <c r="AB10" s="1" t="s">
        <v>291</v>
      </c>
      <c r="AC10" s="1">
        <v>0.0</v>
      </c>
      <c r="AD10" s="1">
        <v>0.0</v>
      </c>
      <c r="AE10" s="1">
        <v>0.0</v>
      </c>
      <c r="AF10" s="1">
        <v>0.0</v>
      </c>
      <c r="AG10" s="7">
        <v>45831.147523148145</v>
      </c>
      <c r="AH10" s="1">
        <v>82.0</v>
      </c>
      <c r="AI10" s="1">
        <v>50.0</v>
      </c>
      <c r="AJ10" s="1">
        <v>91.0</v>
      </c>
      <c r="AK10" s="1">
        <v>81.0</v>
      </c>
      <c r="AL10" s="1">
        <v>-2.0</v>
      </c>
      <c r="AM10" s="1">
        <v>-2.0</v>
      </c>
      <c r="AN10" s="1">
        <v>-2.0</v>
      </c>
      <c r="AO10" s="1">
        <v>85.0</v>
      </c>
      <c r="AP10" s="1">
        <v>89.0</v>
      </c>
      <c r="AQ10" s="1">
        <v>-2.0</v>
      </c>
      <c r="AR10" s="1">
        <v>-2.0</v>
      </c>
      <c r="AS10" s="1">
        <v>-2.0</v>
      </c>
      <c r="AT10" s="1">
        <v>-2.0</v>
      </c>
      <c r="AU10" s="1">
        <v>-2.0</v>
      </c>
      <c r="AV10" s="1">
        <v>-2.0</v>
      </c>
      <c r="AW10" s="1">
        <v>271.0</v>
      </c>
      <c r="AX10" s="1">
        <v>-2.0</v>
      </c>
      <c r="AY10" s="1">
        <v>-2.0</v>
      </c>
      <c r="AZ10" s="1">
        <v>288.0</v>
      </c>
      <c r="BA10" s="1">
        <v>-2.0</v>
      </c>
      <c r="BB10" s="1">
        <v>-2.0</v>
      </c>
      <c r="BC10" s="1">
        <v>-2.0</v>
      </c>
      <c r="BD10" s="1">
        <v>-2.0</v>
      </c>
      <c r="BE10" s="1">
        <v>-2.0</v>
      </c>
      <c r="BF10" s="1">
        <v>-2.0</v>
      </c>
      <c r="BG10" s="1">
        <v>-2.0</v>
      </c>
      <c r="BH10" s="1">
        <v>-2.0</v>
      </c>
    </row>
    <row r="11">
      <c r="A11" s="2" t="s">
        <v>325</v>
      </c>
      <c r="B11" s="1">
        <v>736.0</v>
      </c>
      <c r="C11" s="1" t="s">
        <v>326</v>
      </c>
      <c r="D11" s="1">
        <v>9.0</v>
      </c>
      <c r="E11" s="1">
        <v>93.0</v>
      </c>
      <c r="F11" s="1">
        <v>14.0</v>
      </c>
      <c r="G11" s="1">
        <v>14.0</v>
      </c>
      <c r="H11" s="1" t="s">
        <v>314</v>
      </c>
      <c r="I11" s="1">
        <v>44.0</v>
      </c>
      <c r="J11" s="1">
        <v>2.0</v>
      </c>
      <c r="K11" s="1">
        <v>5.0</v>
      </c>
      <c r="L11" s="1">
        <v>0.0</v>
      </c>
      <c r="M11" s="1">
        <v>1.0</v>
      </c>
      <c r="N11" s="1">
        <v>-1.0</v>
      </c>
      <c r="P11" s="1">
        <v>1348.0</v>
      </c>
      <c r="Q11" s="1">
        <v>77.0</v>
      </c>
      <c r="R11" s="1">
        <v>71.0</v>
      </c>
      <c r="S11" s="1">
        <v>0.0</v>
      </c>
      <c r="T11" s="1">
        <v>0.0</v>
      </c>
      <c r="U11" s="1" t="s">
        <v>291</v>
      </c>
      <c r="V11" s="1" t="s">
        <v>327</v>
      </c>
      <c r="W11" s="1">
        <v>25.0</v>
      </c>
      <c r="X11" s="1">
        <v>1071197.0</v>
      </c>
      <c r="Y11" s="1">
        <v>0.0</v>
      </c>
      <c r="Z11" s="1">
        <v>1.0</v>
      </c>
      <c r="AA11" s="1">
        <v>0.0</v>
      </c>
      <c r="AB11" s="1" t="s">
        <v>328</v>
      </c>
      <c r="AC11" s="1">
        <v>0.0</v>
      </c>
      <c r="AD11" s="1">
        <v>0.0</v>
      </c>
      <c r="AE11" s="1">
        <v>0.0</v>
      </c>
      <c r="AF11" s="1">
        <v>0.0</v>
      </c>
      <c r="AG11" s="7">
        <v>45786.097337962965</v>
      </c>
      <c r="AH11" s="1">
        <v>-2.0</v>
      </c>
      <c r="AI11" s="1">
        <v>-2.0</v>
      </c>
      <c r="AJ11" s="1">
        <v>-2.0</v>
      </c>
      <c r="AK11" s="1">
        <v>736.0</v>
      </c>
      <c r="AL11" s="1">
        <v>-2.0</v>
      </c>
      <c r="AM11" s="1">
        <v>-2.0</v>
      </c>
      <c r="AN11" s="1">
        <v>-2.0</v>
      </c>
      <c r="AO11" s="1">
        <v>-2.0</v>
      </c>
      <c r="AP11" s="1">
        <v>-2.0</v>
      </c>
      <c r="AQ11" s="1">
        <v>-2.0</v>
      </c>
      <c r="AR11" s="1">
        <v>-2.0</v>
      </c>
      <c r="AS11" s="1">
        <v>-2.0</v>
      </c>
      <c r="AT11" s="1">
        <v>-2.0</v>
      </c>
      <c r="AU11" s="1">
        <v>-2.0</v>
      </c>
      <c r="AV11" s="1">
        <v>-2.0</v>
      </c>
      <c r="AW11" s="1">
        <v>-2.0</v>
      </c>
      <c r="AX11" s="1">
        <v>831.0</v>
      </c>
      <c r="AY11" s="1">
        <v>-2.0</v>
      </c>
      <c r="AZ11" s="1">
        <v>-2.0</v>
      </c>
      <c r="BA11" s="1">
        <v>-2.0</v>
      </c>
      <c r="BB11" s="1">
        <v>-2.0</v>
      </c>
      <c r="BC11" s="1">
        <v>-2.0</v>
      </c>
      <c r="BD11" s="1">
        <v>-2.0</v>
      </c>
      <c r="BE11" s="1">
        <v>-2.0</v>
      </c>
      <c r="BF11" s="1">
        <v>-2.0</v>
      </c>
      <c r="BG11" s="1">
        <v>-2.0</v>
      </c>
      <c r="BH11" s="1">
        <v>-2.0</v>
      </c>
    </row>
    <row r="12">
      <c r="A12" s="2" t="s">
        <v>329</v>
      </c>
      <c r="B12" s="1">
        <v>1318.0</v>
      </c>
      <c r="C12" s="1" t="s">
        <v>330</v>
      </c>
      <c r="D12" s="1">
        <v>226982.0</v>
      </c>
      <c r="E12" s="1">
        <v>23381.0</v>
      </c>
      <c r="F12" s="1">
        <v>55.0</v>
      </c>
      <c r="G12" s="1">
        <v>58.0</v>
      </c>
      <c r="H12" s="1" t="s">
        <v>331</v>
      </c>
      <c r="I12" s="1">
        <v>84.0</v>
      </c>
      <c r="J12" s="1">
        <v>2982.0</v>
      </c>
      <c r="K12" s="1">
        <v>12610.0</v>
      </c>
      <c r="L12" s="1">
        <v>28808.0</v>
      </c>
      <c r="M12" s="1">
        <v>1.0</v>
      </c>
      <c r="N12" s="1">
        <v>-1.0</v>
      </c>
      <c r="O12" s="1" t="s">
        <v>332</v>
      </c>
      <c r="P12" s="1">
        <v>1601142.0</v>
      </c>
      <c r="Q12" s="1">
        <v>12966.0</v>
      </c>
      <c r="R12" s="1">
        <v>7209.0</v>
      </c>
      <c r="S12" s="1">
        <v>46.0</v>
      </c>
      <c r="T12" s="1">
        <v>9.0</v>
      </c>
      <c r="U12" s="1" t="s">
        <v>291</v>
      </c>
      <c r="V12" s="1" t="s">
        <v>333</v>
      </c>
      <c r="W12" s="1">
        <v>5.0</v>
      </c>
      <c r="X12" s="1">
        <v>5152.0</v>
      </c>
      <c r="Y12" s="1">
        <v>4000.0</v>
      </c>
      <c r="Z12" s="1">
        <v>10896.0</v>
      </c>
      <c r="AA12" s="1">
        <v>13546.0</v>
      </c>
      <c r="AB12" s="1" t="s">
        <v>291</v>
      </c>
      <c r="AC12" s="1">
        <v>11.0</v>
      </c>
      <c r="AD12" s="1">
        <v>16.0</v>
      </c>
      <c r="AE12" s="1">
        <v>22.0</v>
      </c>
      <c r="AF12" s="1">
        <v>7.0</v>
      </c>
      <c r="AG12" s="7">
        <v>45611.979837962965</v>
      </c>
      <c r="AH12" s="1">
        <v>-2.0</v>
      </c>
      <c r="AI12" s="1">
        <v>-2.0</v>
      </c>
      <c r="AJ12" s="1">
        <v>-2.0</v>
      </c>
      <c r="AK12" s="1">
        <v>1505.0</v>
      </c>
      <c r="AL12" s="1">
        <v>1318.0</v>
      </c>
      <c r="AM12" s="1">
        <v>-2.0</v>
      </c>
      <c r="AN12" s="1">
        <v>-2.0</v>
      </c>
      <c r="AO12" s="1">
        <v>1932.0</v>
      </c>
      <c r="AP12" s="1">
        <v>1587.0</v>
      </c>
      <c r="AQ12" s="1">
        <v>1506.0</v>
      </c>
      <c r="AR12" s="1">
        <v>1450.0</v>
      </c>
      <c r="AS12" s="1">
        <v>1335.0</v>
      </c>
      <c r="AT12" s="1">
        <v>-2.0</v>
      </c>
      <c r="AU12" s="1">
        <v>-2.0</v>
      </c>
      <c r="AV12" s="1">
        <v>-2.0</v>
      </c>
      <c r="AW12" s="1">
        <v>1466.0</v>
      </c>
      <c r="AX12" s="1">
        <v>1710.0</v>
      </c>
      <c r="AY12" s="1">
        <v>-2.0</v>
      </c>
      <c r="AZ12" s="1">
        <v>-2.0</v>
      </c>
      <c r="BA12" s="1">
        <v>-2.0</v>
      </c>
      <c r="BB12" s="1">
        <v>1340.0</v>
      </c>
      <c r="BC12" s="1">
        <v>-2.0</v>
      </c>
      <c r="BD12" s="1">
        <v>-2.0</v>
      </c>
      <c r="BE12" s="1">
        <v>-2.0</v>
      </c>
      <c r="BF12" s="1">
        <v>2334.0</v>
      </c>
      <c r="BG12" s="1">
        <v>-2.0</v>
      </c>
      <c r="BH12" s="1">
        <v>-2.0</v>
      </c>
    </row>
    <row r="13">
      <c r="A13" s="2" t="s">
        <v>334</v>
      </c>
      <c r="B13" s="1">
        <v>12500.0</v>
      </c>
      <c r="C13" s="1" t="s">
        <v>326</v>
      </c>
      <c r="D13" s="1">
        <v>6303744.0</v>
      </c>
      <c r="E13" s="1">
        <v>112518.0</v>
      </c>
      <c r="F13" s="1">
        <v>81.0</v>
      </c>
      <c r="G13" s="1">
        <v>68.0</v>
      </c>
      <c r="H13" s="1" t="s">
        <v>331</v>
      </c>
      <c r="I13" s="1">
        <v>91.0</v>
      </c>
      <c r="J13" s="1">
        <v>87085.0</v>
      </c>
      <c r="K13" s="1">
        <v>222003.0</v>
      </c>
      <c r="L13" s="1">
        <v>723482.0</v>
      </c>
      <c r="M13" s="1">
        <v>1.0</v>
      </c>
      <c r="N13" s="1">
        <v>-1.0</v>
      </c>
      <c r="O13" s="1" t="s">
        <v>335</v>
      </c>
      <c r="P13" s="1">
        <v>3.6015409E7</v>
      </c>
      <c r="Q13" s="1">
        <v>54183.0</v>
      </c>
      <c r="R13" s="1">
        <v>25471.0</v>
      </c>
      <c r="S13" s="1">
        <v>596.0</v>
      </c>
      <c r="T13" s="1">
        <v>70.0</v>
      </c>
      <c r="U13" s="1" t="s">
        <v>336</v>
      </c>
      <c r="V13" s="1" t="s">
        <v>337</v>
      </c>
      <c r="W13" s="1">
        <v>20.0</v>
      </c>
      <c r="X13" s="1">
        <v>912.0</v>
      </c>
      <c r="Y13" s="1">
        <v>48342.0</v>
      </c>
      <c r="Z13" s="1">
        <v>63226.0</v>
      </c>
      <c r="AA13" s="1">
        <v>60963.0</v>
      </c>
      <c r="AB13" s="1" t="s">
        <v>291</v>
      </c>
      <c r="AC13" s="1">
        <v>55.0</v>
      </c>
      <c r="AD13" s="1">
        <v>98.0</v>
      </c>
      <c r="AE13" s="1">
        <v>357.0</v>
      </c>
      <c r="AF13" s="1">
        <v>31.0</v>
      </c>
      <c r="AG13" s="7">
        <v>45904.092673611114</v>
      </c>
      <c r="AH13" s="1">
        <v>-2.0</v>
      </c>
      <c r="AI13" s="1">
        <v>-2.0</v>
      </c>
      <c r="AJ13" s="1">
        <v>-2.0</v>
      </c>
      <c r="AK13" s="1">
        <v>12500.0</v>
      </c>
      <c r="AL13" s="1">
        <v>-2.0</v>
      </c>
      <c r="AM13" s="1">
        <v>-2.0</v>
      </c>
      <c r="AN13" s="1">
        <v>-2.0</v>
      </c>
      <c r="AO13" s="1">
        <v>15960.0</v>
      </c>
      <c r="AP13" s="1">
        <v>-2.0</v>
      </c>
      <c r="AQ13" s="1">
        <v>-2.0</v>
      </c>
      <c r="AR13" s="1">
        <v>-2.0</v>
      </c>
      <c r="AS13" s="1">
        <v>-2.0</v>
      </c>
      <c r="AT13" s="1">
        <v>-2.0</v>
      </c>
      <c r="AU13" s="1">
        <v>-2.0</v>
      </c>
      <c r="AV13" s="1">
        <v>-2.0</v>
      </c>
      <c r="AW13" s="1">
        <v>-2.0</v>
      </c>
      <c r="AX13" s="1">
        <v>13530.0</v>
      </c>
      <c r="AY13" s="1">
        <v>13902.0</v>
      </c>
      <c r="AZ13" s="1">
        <v>-2.0</v>
      </c>
      <c r="BA13" s="1">
        <v>-2.0</v>
      </c>
      <c r="BB13" s="1">
        <v>-2.0</v>
      </c>
      <c r="BC13" s="1">
        <v>-2.0</v>
      </c>
      <c r="BD13" s="1">
        <v>-2.0</v>
      </c>
      <c r="BE13" s="1">
        <v>-2.0</v>
      </c>
      <c r="BF13" s="1">
        <v>-2.0</v>
      </c>
      <c r="BG13" s="1">
        <v>-2.0</v>
      </c>
      <c r="BH13" s="1">
        <v>13000.0</v>
      </c>
    </row>
    <row r="14">
      <c r="A14" s="2" t="s">
        <v>338</v>
      </c>
      <c r="B14" s="1">
        <v>13.0</v>
      </c>
      <c r="C14" s="1" t="s">
        <v>307</v>
      </c>
      <c r="D14" s="1">
        <v>0.0</v>
      </c>
      <c r="E14" s="1">
        <v>45.0</v>
      </c>
      <c r="F14" s="1">
        <v>6.0</v>
      </c>
      <c r="G14" s="1">
        <v>21.0</v>
      </c>
      <c r="H14" s="1" t="s">
        <v>339</v>
      </c>
      <c r="I14" s="1">
        <v>2.0</v>
      </c>
      <c r="J14" s="1">
        <v>0.0</v>
      </c>
      <c r="K14" s="1">
        <v>0.0</v>
      </c>
      <c r="L14" s="1">
        <v>0.0</v>
      </c>
      <c r="M14" s="1">
        <v>0.0</v>
      </c>
      <c r="N14" s="1">
        <v>-1.0</v>
      </c>
      <c r="O14" s="1" t="s">
        <v>340</v>
      </c>
      <c r="P14" s="1">
        <v>70.0</v>
      </c>
      <c r="Q14" s="1">
        <v>29.0</v>
      </c>
      <c r="R14" s="1">
        <v>28.0</v>
      </c>
      <c r="S14" s="1">
        <v>0.0</v>
      </c>
      <c r="T14" s="1">
        <v>0.0</v>
      </c>
      <c r="U14" s="1" t="s">
        <v>291</v>
      </c>
      <c r="V14" s="1" t="s">
        <v>341</v>
      </c>
      <c r="W14" s="1">
        <v>0.0</v>
      </c>
      <c r="X14" s="1">
        <v>3.9152836E7</v>
      </c>
      <c r="Y14" s="1">
        <v>0.0</v>
      </c>
      <c r="Z14" s="1">
        <v>2.0</v>
      </c>
      <c r="AA14" s="1">
        <v>4.0</v>
      </c>
      <c r="AC14" s="1">
        <v>0.0</v>
      </c>
      <c r="AD14" s="1">
        <v>0.0</v>
      </c>
      <c r="AE14" s="1">
        <v>0.0</v>
      </c>
      <c r="AF14" s="1">
        <v>0.0</v>
      </c>
      <c r="AG14" s="7">
        <v>45611.98693287037</v>
      </c>
      <c r="AH14" s="1">
        <v>13.0</v>
      </c>
      <c r="AI14" s="1">
        <v>86.0</v>
      </c>
      <c r="AJ14" s="1">
        <v>-2.0</v>
      </c>
      <c r="AK14" s="1">
        <v>-2.0</v>
      </c>
      <c r="AL14" s="1">
        <v>-2.0</v>
      </c>
      <c r="AM14" s="1">
        <v>-2.0</v>
      </c>
      <c r="AN14" s="1">
        <v>-2.0</v>
      </c>
      <c r="AO14" s="1">
        <v>-2.0</v>
      </c>
      <c r="AP14" s="1">
        <v>-2.0</v>
      </c>
      <c r="AQ14" s="1">
        <v>-2.0</v>
      </c>
      <c r="AR14" s="1">
        <v>-2.0</v>
      </c>
      <c r="AS14" s="1">
        <v>-2.0</v>
      </c>
      <c r="AT14" s="1">
        <v>-2.0</v>
      </c>
      <c r="AU14" s="1">
        <v>-2.0</v>
      </c>
      <c r="AV14" s="1">
        <v>-2.0</v>
      </c>
      <c r="AW14" s="1">
        <v>-2.0</v>
      </c>
      <c r="AX14" s="1">
        <v>-2.0</v>
      </c>
      <c r="AY14" s="1">
        <v>-2.0</v>
      </c>
      <c r="AZ14" s="1">
        <v>-2.0</v>
      </c>
      <c r="BA14" s="1">
        <v>-2.0</v>
      </c>
      <c r="BB14" s="1">
        <v>-2.0</v>
      </c>
      <c r="BC14" s="1">
        <v>-2.0</v>
      </c>
      <c r="BD14" s="1">
        <v>-2.0</v>
      </c>
      <c r="BE14" s="1">
        <v>-2.0</v>
      </c>
      <c r="BF14" s="1">
        <v>-2.0</v>
      </c>
      <c r="BG14" s="1">
        <v>-2.0</v>
      </c>
      <c r="BH14" s="1">
        <v>-2.0</v>
      </c>
    </row>
    <row r="15">
      <c r="A15" s="2" t="s">
        <v>342</v>
      </c>
      <c r="B15" s="1">
        <v>72.0</v>
      </c>
      <c r="C15" s="1" t="s">
        <v>293</v>
      </c>
      <c r="D15" s="1">
        <v>294.0</v>
      </c>
      <c r="E15" s="1">
        <v>164.0</v>
      </c>
      <c r="F15" s="1">
        <v>29.0</v>
      </c>
      <c r="G15" s="1">
        <v>45.0</v>
      </c>
      <c r="H15" s="1" t="s">
        <v>343</v>
      </c>
      <c r="I15" s="1">
        <v>29.0</v>
      </c>
      <c r="J15" s="1">
        <v>3.0</v>
      </c>
      <c r="K15" s="1">
        <v>36.0</v>
      </c>
      <c r="L15" s="1">
        <v>129.0</v>
      </c>
      <c r="M15" s="1">
        <v>0.0</v>
      </c>
      <c r="N15" s="1">
        <v>-1.0</v>
      </c>
      <c r="O15" s="1" t="s">
        <v>344</v>
      </c>
      <c r="P15" s="1">
        <v>16750.0</v>
      </c>
      <c r="Q15" s="1">
        <v>112.0</v>
      </c>
      <c r="R15" s="1">
        <v>91.0</v>
      </c>
      <c r="S15" s="1">
        <v>0.0</v>
      </c>
      <c r="T15" s="1">
        <v>0.0</v>
      </c>
      <c r="U15" s="1" t="s">
        <v>291</v>
      </c>
      <c r="V15" s="1" t="s">
        <v>296</v>
      </c>
      <c r="W15" s="1">
        <v>0.0</v>
      </c>
      <c r="X15" s="1">
        <v>4166590.0</v>
      </c>
      <c r="Y15" s="1">
        <v>14.0</v>
      </c>
      <c r="Z15" s="1">
        <v>22.0</v>
      </c>
      <c r="AA15" s="1">
        <v>66.0</v>
      </c>
      <c r="AB15" s="1" t="s">
        <v>291</v>
      </c>
      <c r="AC15" s="1">
        <v>0.0</v>
      </c>
      <c r="AD15" s="1">
        <v>0.0</v>
      </c>
      <c r="AE15" s="1">
        <v>0.0</v>
      </c>
      <c r="AF15" s="1">
        <v>0.0</v>
      </c>
      <c r="AG15" s="7">
        <v>45869.80472222222</v>
      </c>
      <c r="AH15" s="1">
        <v>73.0</v>
      </c>
      <c r="AI15" s="1">
        <v>72.0</v>
      </c>
      <c r="AJ15" s="1">
        <v>72.0</v>
      </c>
      <c r="AK15" s="1">
        <v>107.0</v>
      </c>
      <c r="AL15" s="1">
        <v>87.0</v>
      </c>
      <c r="AM15" s="1">
        <v>-2.0</v>
      </c>
      <c r="AN15" s="1">
        <v>-2.0</v>
      </c>
      <c r="AO15" s="1">
        <v>108.0</v>
      </c>
      <c r="AP15" s="1">
        <v>-2.0</v>
      </c>
      <c r="AQ15" s="1">
        <v>266.0</v>
      </c>
      <c r="AR15" s="1">
        <v>-2.0</v>
      </c>
      <c r="AS15" s="1">
        <v>-2.0</v>
      </c>
      <c r="AT15" s="1">
        <v>246.0</v>
      </c>
      <c r="AU15" s="1">
        <v>-2.0</v>
      </c>
      <c r="AV15" s="1">
        <v>-2.0</v>
      </c>
      <c r="AW15" s="1">
        <v>357.0</v>
      </c>
      <c r="AX15" s="1">
        <v>-2.0</v>
      </c>
      <c r="AY15" s="1">
        <v>139.0</v>
      </c>
      <c r="AZ15" s="1">
        <v>313.0</v>
      </c>
      <c r="BA15" s="1">
        <v>185.0</v>
      </c>
      <c r="BB15" s="1">
        <v>-2.0</v>
      </c>
      <c r="BC15" s="1">
        <v>-2.0</v>
      </c>
      <c r="BD15" s="1">
        <v>137.0</v>
      </c>
      <c r="BE15" s="1">
        <v>-2.0</v>
      </c>
      <c r="BF15" s="1">
        <v>334.0</v>
      </c>
      <c r="BG15" s="1">
        <v>-2.0</v>
      </c>
      <c r="BH15" s="1">
        <v>-2.0</v>
      </c>
    </row>
    <row r="16">
      <c r="A16" s="2" t="s">
        <v>345</v>
      </c>
      <c r="B16" s="1">
        <v>50.0</v>
      </c>
      <c r="C16" s="1" t="s">
        <v>346</v>
      </c>
      <c r="D16" s="1">
        <v>2.0</v>
      </c>
      <c r="E16" s="1">
        <v>90.0</v>
      </c>
      <c r="F16" s="1">
        <v>16.0</v>
      </c>
      <c r="G16" s="1">
        <v>35.0</v>
      </c>
      <c r="H16" s="1" t="s">
        <v>347</v>
      </c>
      <c r="I16" s="1">
        <v>10.0</v>
      </c>
      <c r="J16" s="1">
        <v>0.0</v>
      </c>
      <c r="K16" s="1">
        <v>1.0</v>
      </c>
      <c r="L16" s="1">
        <v>2.0</v>
      </c>
      <c r="M16" s="1">
        <v>0.0</v>
      </c>
      <c r="N16" s="1">
        <v>-1.0</v>
      </c>
      <c r="O16" s="1" t="s">
        <v>348</v>
      </c>
      <c r="P16" s="1">
        <v>330.0</v>
      </c>
      <c r="Q16" s="1">
        <v>51.0</v>
      </c>
      <c r="R16" s="1">
        <v>44.0</v>
      </c>
      <c r="S16" s="1">
        <v>0.0</v>
      </c>
      <c r="T16" s="1">
        <v>0.0</v>
      </c>
      <c r="U16" s="1" t="s">
        <v>296</v>
      </c>
      <c r="V16" s="1" t="s">
        <v>349</v>
      </c>
      <c r="W16" s="1">
        <v>0.0</v>
      </c>
      <c r="X16" s="1">
        <v>1.6890767E7</v>
      </c>
      <c r="Y16" s="1">
        <v>0.0</v>
      </c>
      <c r="Z16" s="1">
        <v>0.0</v>
      </c>
      <c r="AA16" s="1">
        <v>1.0</v>
      </c>
      <c r="AB16" s="1" t="s">
        <v>291</v>
      </c>
      <c r="AC16" s="1">
        <v>0.0</v>
      </c>
      <c r="AD16" s="1">
        <v>0.0</v>
      </c>
      <c r="AE16" s="1">
        <v>0.0</v>
      </c>
      <c r="AF16" s="1">
        <v>0.0</v>
      </c>
      <c r="AG16" s="7">
        <v>45715.833645833336</v>
      </c>
      <c r="AH16" s="1">
        <v>-2.0</v>
      </c>
      <c r="AI16" s="1">
        <v>-2.0</v>
      </c>
      <c r="AJ16" s="1">
        <v>-2.0</v>
      </c>
      <c r="AK16" s="1">
        <v>-2.0</v>
      </c>
      <c r="AL16" s="1">
        <v>-2.0</v>
      </c>
      <c r="AM16" s="1">
        <v>50.0</v>
      </c>
      <c r="AN16" s="1">
        <v>-2.0</v>
      </c>
      <c r="AO16" s="1">
        <v>-2.0</v>
      </c>
      <c r="AP16" s="1">
        <v>-2.0</v>
      </c>
      <c r="AQ16" s="1">
        <v>-2.0</v>
      </c>
      <c r="AR16" s="1">
        <v>-2.0</v>
      </c>
      <c r="AS16" s="1">
        <v>-2.0</v>
      </c>
      <c r="AT16" s="1">
        <v>-2.0</v>
      </c>
      <c r="AU16" s="1">
        <v>-2.0</v>
      </c>
      <c r="AV16" s="1">
        <v>-2.0</v>
      </c>
      <c r="AW16" s="1">
        <v>-2.0</v>
      </c>
      <c r="AX16" s="1">
        <v>-2.0</v>
      </c>
      <c r="AY16" s="1">
        <v>-2.0</v>
      </c>
      <c r="AZ16" s="1">
        <v>-2.0</v>
      </c>
      <c r="BA16" s="1">
        <v>-2.0</v>
      </c>
      <c r="BB16" s="1">
        <v>-2.0</v>
      </c>
      <c r="BC16" s="1">
        <v>-2.0</v>
      </c>
      <c r="BD16" s="1">
        <v>-2.0</v>
      </c>
      <c r="BE16" s="1">
        <v>-2.0</v>
      </c>
      <c r="BF16" s="1">
        <v>-2.0</v>
      </c>
      <c r="BG16" s="1">
        <v>-2.0</v>
      </c>
      <c r="BH16" s="1">
        <v>-2.0</v>
      </c>
    </row>
    <row r="17">
      <c r="A17" s="2" t="s">
        <v>350</v>
      </c>
      <c r="B17" s="1">
        <v>46.0</v>
      </c>
      <c r="C17" s="1" t="s">
        <v>298</v>
      </c>
      <c r="D17" s="1">
        <v>0.0</v>
      </c>
      <c r="E17" s="1">
        <v>25.0</v>
      </c>
      <c r="F17" s="1">
        <v>3.0</v>
      </c>
      <c r="G17" s="1">
        <v>23.0</v>
      </c>
      <c r="H17" s="1" t="s">
        <v>314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-1.0</v>
      </c>
      <c r="O17" s="1" t="s">
        <v>351</v>
      </c>
      <c r="P17" s="1">
        <v>26.0</v>
      </c>
      <c r="Q17" s="1">
        <v>11.0</v>
      </c>
      <c r="R17" s="1">
        <v>11.0</v>
      </c>
      <c r="S17" s="1">
        <v>0.0</v>
      </c>
      <c r="T17" s="1">
        <v>0.0</v>
      </c>
      <c r="U17" s="1" t="s">
        <v>296</v>
      </c>
      <c r="V17" s="1" t="s">
        <v>352</v>
      </c>
      <c r="W17" s="1">
        <v>0.0</v>
      </c>
      <c r="X17" s="1">
        <v>0.0</v>
      </c>
      <c r="Y17" s="1">
        <v>0.0</v>
      </c>
      <c r="Z17" s="1">
        <v>1.0</v>
      </c>
      <c r="AA17" s="1">
        <v>15.0</v>
      </c>
      <c r="AC17" s="1">
        <v>0.0</v>
      </c>
      <c r="AD17" s="1">
        <v>0.0</v>
      </c>
      <c r="AE17" s="1">
        <v>0.0</v>
      </c>
      <c r="AF17" s="1">
        <v>0.0</v>
      </c>
      <c r="AG17" s="7">
        <v>45904.13295138889</v>
      </c>
      <c r="AH17" s="1">
        <v>-2.0</v>
      </c>
      <c r="AI17" s="1">
        <v>-2.0</v>
      </c>
      <c r="AJ17" s="1">
        <v>-2.0</v>
      </c>
      <c r="AK17" s="1">
        <v>-2.0</v>
      </c>
      <c r="AL17" s="1">
        <v>-2.0</v>
      </c>
      <c r="AM17" s="1">
        <v>-2.0</v>
      </c>
      <c r="AN17" s="1">
        <v>-2.0</v>
      </c>
      <c r="AO17" s="1">
        <v>46.0</v>
      </c>
      <c r="AP17" s="1">
        <v>-2.0</v>
      </c>
      <c r="AQ17" s="1">
        <v>-2.0</v>
      </c>
      <c r="AR17" s="1">
        <v>-2.0</v>
      </c>
      <c r="AS17" s="1">
        <v>-2.0</v>
      </c>
      <c r="AT17" s="1">
        <v>-2.0</v>
      </c>
      <c r="AU17" s="1">
        <v>-2.0</v>
      </c>
      <c r="AV17" s="1">
        <v>-2.0</v>
      </c>
      <c r="AW17" s="1">
        <v>-2.0</v>
      </c>
      <c r="AX17" s="1">
        <v>-2.0</v>
      </c>
      <c r="AY17" s="1">
        <v>-2.0</v>
      </c>
      <c r="AZ17" s="1">
        <v>-2.0</v>
      </c>
      <c r="BA17" s="1">
        <v>-2.0</v>
      </c>
      <c r="BB17" s="1">
        <v>-2.0</v>
      </c>
      <c r="BC17" s="1">
        <v>-2.0</v>
      </c>
      <c r="BD17" s="1">
        <v>-2.0</v>
      </c>
      <c r="BE17" s="1">
        <v>-2.0</v>
      </c>
      <c r="BF17" s="1">
        <v>-2.0</v>
      </c>
      <c r="BG17" s="1">
        <v>-2.0</v>
      </c>
      <c r="BH17" s="1">
        <v>-2.0</v>
      </c>
    </row>
    <row r="18">
      <c r="A18" s="2" t="s">
        <v>353</v>
      </c>
      <c r="B18" s="1">
        <v>81.0</v>
      </c>
      <c r="C18" s="1" t="s">
        <v>354</v>
      </c>
      <c r="D18" s="1">
        <v>851.0</v>
      </c>
      <c r="E18" s="1">
        <v>237.0</v>
      </c>
      <c r="F18" s="1">
        <v>31.0</v>
      </c>
      <c r="G18" s="1">
        <v>35.0</v>
      </c>
      <c r="H18" s="1" t="s">
        <v>314</v>
      </c>
      <c r="I18" s="1">
        <v>29.0</v>
      </c>
      <c r="J18" s="1">
        <v>3.0</v>
      </c>
      <c r="K18" s="1">
        <v>16.0</v>
      </c>
      <c r="L18" s="1">
        <v>1162.0</v>
      </c>
      <c r="M18" s="1">
        <v>0.0</v>
      </c>
      <c r="N18" s="1">
        <v>-1.0</v>
      </c>
      <c r="O18" s="1" t="s">
        <v>355</v>
      </c>
      <c r="P18" s="1">
        <v>5365.0</v>
      </c>
      <c r="Q18" s="1">
        <v>178.0</v>
      </c>
      <c r="R18" s="1">
        <v>151.0</v>
      </c>
      <c r="S18" s="1">
        <v>0.0</v>
      </c>
      <c r="T18" s="1">
        <v>0.0</v>
      </c>
      <c r="U18" s="1" t="s">
        <v>291</v>
      </c>
      <c r="V18" s="1" t="s">
        <v>305</v>
      </c>
      <c r="W18" s="1">
        <v>9.0</v>
      </c>
      <c r="X18" s="1">
        <v>3984913.0</v>
      </c>
      <c r="Y18" s="1">
        <v>18.0</v>
      </c>
      <c r="Z18" s="1">
        <v>177.0</v>
      </c>
      <c r="AA18" s="1">
        <v>263.0</v>
      </c>
      <c r="AB18" s="1" t="s">
        <v>291</v>
      </c>
      <c r="AC18" s="1">
        <v>0.0</v>
      </c>
      <c r="AD18" s="1">
        <v>0.0</v>
      </c>
      <c r="AE18" s="1">
        <v>0.0</v>
      </c>
      <c r="AF18" s="1">
        <v>0.0</v>
      </c>
      <c r="AG18" s="7">
        <v>45611.9768287037</v>
      </c>
      <c r="AH18" s="1">
        <v>105.0</v>
      </c>
      <c r="AI18" s="1">
        <v>94.0</v>
      </c>
      <c r="AJ18" s="1">
        <v>117.0</v>
      </c>
      <c r="AK18" s="1">
        <v>124.0</v>
      </c>
      <c r="AL18" s="1">
        <v>-2.0</v>
      </c>
      <c r="AM18" s="1">
        <v>-2.0</v>
      </c>
      <c r="AN18" s="1">
        <v>81.0</v>
      </c>
      <c r="AO18" s="1">
        <v>139.0</v>
      </c>
      <c r="AP18" s="1">
        <v>143.0</v>
      </c>
      <c r="AQ18" s="1">
        <v>127.0</v>
      </c>
      <c r="AR18" s="1">
        <v>-2.0</v>
      </c>
      <c r="AS18" s="1">
        <v>119.0</v>
      </c>
      <c r="AT18" s="1">
        <v>357.0</v>
      </c>
      <c r="AU18" s="1">
        <v>140.0</v>
      </c>
      <c r="AV18" s="1">
        <v>105.0</v>
      </c>
      <c r="AW18" s="1">
        <v>227.0</v>
      </c>
      <c r="AX18" s="1">
        <v>181.0</v>
      </c>
      <c r="AY18" s="1">
        <v>174.0</v>
      </c>
      <c r="AZ18" s="1">
        <v>-2.0</v>
      </c>
      <c r="BA18" s="1">
        <v>220.0</v>
      </c>
      <c r="BB18" s="1">
        <v>140.0</v>
      </c>
      <c r="BC18" s="1">
        <v>-2.0</v>
      </c>
      <c r="BD18" s="1">
        <v>-2.0</v>
      </c>
      <c r="BE18" s="1">
        <v>-2.0</v>
      </c>
      <c r="BF18" s="1">
        <v>180.0</v>
      </c>
      <c r="BG18" s="1">
        <v>301.0</v>
      </c>
      <c r="BH18" s="1">
        <v>125.0</v>
      </c>
    </row>
    <row r="19">
      <c r="A19" s="2" t="s">
        <v>356</v>
      </c>
      <c r="B19" s="1">
        <v>374.0</v>
      </c>
      <c r="C19" s="1" t="s">
        <v>326</v>
      </c>
      <c r="D19" s="1">
        <v>2880.0</v>
      </c>
      <c r="E19" s="1">
        <v>831.0</v>
      </c>
      <c r="F19" s="1">
        <v>29.0</v>
      </c>
      <c r="G19" s="1">
        <v>41.0</v>
      </c>
      <c r="H19" s="1" t="s">
        <v>357</v>
      </c>
      <c r="I19" s="1">
        <v>65.0</v>
      </c>
      <c r="J19" s="1">
        <v>66.0</v>
      </c>
      <c r="K19" s="1">
        <v>191.0</v>
      </c>
      <c r="L19" s="1">
        <v>4476.0</v>
      </c>
      <c r="M19" s="1">
        <v>0.0</v>
      </c>
      <c r="N19" s="1">
        <v>-1.0</v>
      </c>
      <c r="O19" s="1" t="s">
        <v>358</v>
      </c>
      <c r="P19" s="1">
        <v>22322.0</v>
      </c>
      <c r="Q19" s="1">
        <v>547.0</v>
      </c>
      <c r="R19" s="1">
        <v>393.0</v>
      </c>
      <c r="S19" s="1">
        <v>1.0</v>
      </c>
      <c r="T19" s="1">
        <v>0.0</v>
      </c>
      <c r="U19" s="1" t="s">
        <v>296</v>
      </c>
      <c r="V19" s="1" t="s">
        <v>296</v>
      </c>
      <c r="W19" s="1">
        <v>5.0</v>
      </c>
      <c r="X19" s="1">
        <v>167156.0</v>
      </c>
      <c r="Y19" s="1">
        <v>81.0</v>
      </c>
      <c r="Z19" s="1">
        <v>284.0</v>
      </c>
      <c r="AA19" s="1">
        <v>587.0</v>
      </c>
      <c r="AB19" s="1" t="s">
        <v>291</v>
      </c>
      <c r="AC19" s="1">
        <v>0.0</v>
      </c>
      <c r="AD19" s="1">
        <v>0.0</v>
      </c>
      <c r="AE19" s="1">
        <v>0.0</v>
      </c>
      <c r="AF19" s="1">
        <v>0.0</v>
      </c>
      <c r="AG19" s="7">
        <v>45611.979837962965</v>
      </c>
      <c r="AH19" s="1">
        <v>-2.0</v>
      </c>
      <c r="AI19" s="1">
        <v>576.0</v>
      </c>
      <c r="AJ19" s="1">
        <v>391.0</v>
      </c>
      <c r="AK19" s="1">
        <v>374.0</v>
      </c>
      <c r="AL19" s="1">
        <v>-2.0</v>
      </c>
      <c r="AM19" s="1">
        <v>-2.0</v>
      </c>
      <c r="AN19" s="1">
        <v>390.0</v>
      </c>
      <c r="AO19" s="1">
        <v>462.0</v>
      </c>
      <c r="AP19" s="1">
        <v>429.0</v>
      </c>
      <c r="AQ19" s="1">
        <v>381.0</v>
      </c>
      <c r="AR19" s="1">
        <v>700.0</v>
      </c>
      <c r="AS19" s="1">
        <v>375.0</v>
      </c>
      <c r="AT19" s="1">
        <v>-2.0</v>
      </c>
      <c r="AU19" s="1">
        <v>-2.0</v>
      </c>
      <c r="AV19" s="1">
        <v>-2.0</v>
      </c>
      <c r="AW19" s="1">
        <v>-2.0</v>
      </c>
      <c r="AX19" s="1">
        <v>400.0</v>
      </c>
      <c r="AY19" s="1">
        <v>490.0</v>
      </c>
      <c r="AZ19" s="1">
        <v>750.0</v>
      </c>
      <c r="BA19" s="1">
        <v>1000.0</v>
      </c>
      <c r="BB19" s="1">
        <v>850.0</v>
      </c>
      <c r="BC19" s="1">
        <v>-2.0</v>
      </c>
      <c r="BD19" s="1">
        <v>-2.0</v>
      </c>
      <c r="BE19" s="1">
        <v>405.0</v>
      </c>
      <c r="BF19" s="1">
        <v>-2.0</v>
      </c>
      <c r="BG19" s="1">
        <v>748.0</v>
      </c>
      <c r="BH19" s="1">
        <v>-2.0</v>
      </c>
    </row>
    <row r="20">
      <c r="A20" s="2" t="s">
        <v>359</v>
      </c>
      <c r="B20" s="1">
        <v>29.0</v>
      </c>
      <c r="C20" s="1" t="s">
        <v>360</v>
      </c>
      <c r="D20" s="1">
        <v>9.99725398E8</v>
      </c>
      <c r="E20" s="1">
        <v>969384.0</v>
      </c>
      <c r="F20" s="1">
        <v>79.0</v>
      </c>
      <c r="G20" s="1">
        <v>80.0</v>
      </c>
      <c r="H20" s="1" t="s">
        <v>361</v>
      </c>
      <c r="I20" s="1">
        <v>95.0</v>
      </c>
      <c r="J20" s="1">
        <v>2.5264777E7</v>
      </c>
      <c r="K20" s="1">
        <v>4.8099619E7</v>
      </c>
      <c r="L20" s="1">
        <v>4.12907708E8</v>
      </c>
      <c r="M20" s="1">
        <v>1.0</v>
      </c>
      <c r="N20" s="1">
        <v>-1.0</v>
      </c>
      <c r="O20" s="1" t="s">
        <v>362</v>
      </c>
      <c r="P20" s="1">
        <v>1.442076444E9</v>
      </c>
      <c r="Q20" s="1">
        <v>326388.0</v>
      </c>
      <c r="R20" s="1">
        <v>114354.0</v>
      </c>
      <c r="S20" s="1">
        <v>3526.0</v>
      </c>
      <c r="T20" s="1">
        <v>866.0</v>
      </c>
      <c r="V20" s="1" t="s">
        <v>363</v>
      </c>
      <c r="W20" s="1">
        <v>39.0</v>
      </c>
      <c r="X20" s="1">
        <v>35.0</v>
      </c>
      <c r="Y20" s="1">
        <v>5058899.0</v>
      </c>
      <c r="Z20" s="1">
        <v>2273235.0</v>
      </c>
      <c r="AA20" s="1">
        <v>1105965.0</v>
      </c>
      <c r="AB20" s="1" t="s">
        <v>364</v>
      </c>
      <c r="AC20" s="1">
        <v>627.0</v>
      </c>
      <c r="AD20" s="1">
        <v>815.0</v>
      </c>
      <c r="AE20" s="1">
        <v>1565.0</v>
      </c>
      <c r="AF20" s="1">
        <v>5919.0</v>
      </c>
      <c r="AG20" s="7">
        <v>45845.78511574074</v>
      </c>
      <c r="AH20" s="1">
        <v>-2.0</v>
      </c>
      <c r="AI20" s="1">
        <v>-2.0</v>
      </c>
      <c r="AJ20" s="1">
        <v>-2.0</v>
      </c>
      <c r="AK20" s="1">
        <v>-2.0</v>
      </c>
      <c r="AL20" s="1">
        <v>-2.0</v>
      </c>
      <c r="AM20" s="1">
        <v>-2.0</v>
      </c>
      <c r="AN20" s="1">
        <v>-2.0</v>
      </c>
      <c r="AO20" s="1">
        <v>-2.0</v>
      </c>
      <c r="AP20" s="1">
        <v>-2.0</v>
      </c>
      <c r="AQ20" s="1">
        <v>-2.0</v>
      </c>
      <c r="AR20" s="1">
        <v>-2.0</v>
      </c>
      <c r="AS20" s="1">
        <v>-2.0</v>
      </c>
      <c r="AT20" s="1">
        <v>29.0</v>
      </c>
      <c r="AU20" s="1">
        <v>-2.0</v>
      </c>
      <c r="AV20" s="1">
        <v>-2.0</v>
      </c>
      <c r="AW20" s="1">
        <v>-2.0</v>
      </c>
      <c r="AX20" s="1">
        <v>-2.0</v>
      </c>
      <c r="AY20" s="1">
        <v>-2.0</v>
      </c>
      <c r="AZ20" s="1">
        <v>-2.0</v>
      </c>
      <c r="BA20" s="1">
        <v>-2.0</v>
      </c>
      <c r="BB20" s="1">
        <v>-2.0</v>
      </c>
      <c r="BC20" s="1">
        <v>-2.0</v>
      </c>
      <c r="BD20" s="1">
        <v>-2.0</v>
      </c>
      <c r="BE20" s="1">
        <v>-2.0</v>
      </c>
      <c r="BF20" s="1">
        <v>-2.0</v>
      </c>
      <c r="BG20" s="1">
        <v>-2.0</v>
      </c>
      <c r="BH20" s="1">
        <v>-2.0</v>
      </c>
    </row>
    <row r="21">
      <c r="A21" s="2" t="s">
        <v>365</v>
      </c>
      <c r="B21" s="1">
        <v>49.0</v>
      </c>
      <c r="C21" s="1" t="s">
        <v>307</v>
      </c>
      <c r="D21" s="1">
        <v>172.0</v>
      </c>
      <c r="E21" s="1">
        <v>152.0</v>
      </c>
      <c r="F21" s="1">
        <v>18.0</v>
      </c>
      <c r="G21" s="1">
        <v>36.0</v>
      </c>
      <c r="H21" s="1" t="s">
        <v>366</v>
      </c>
      <c r="I21" s="1">
        <v>35.0</v>
      </c>
      <c r="J21" s="1">
        <v>6.0</v>
      </c>
      <c r="K21" s="1">
        <v>45.0</v>
      </c>
      <c r="L21" s="1">
        <v>57.0</v>
      </c>
      <c r="M21" s="1">
        <v>0.0</v>
      </c>
      <c r="N21" s="1">
        <v>-1.0</v>
      </c>
      <c r="O21" s="1" t="s">
        <v>367</v>
      </c>
      <c r="P21" s="1">
        <v>292.0</v>
      </c>
      <c r="Q21" s="1">
        <v>109.0</v>
      </c>
      <c r="R21" s="1">
        <v>98.0</v>
      </c>
      <c r="S21" s="1">
        <v>0.0</v>
      </c>
      <c r="T21" s="1">
        <v>0.0</v>
      </c>
      <c r="U21" s="1" t="s">
        <v>291</v>
      </c>
      <c r="V21" s="1" t="s">
        <v>368</v>
      </c>
      <c r="W21" s="1">
        <v>9.0</v>
      </c>
      <c r="X21" s="1">
        <v>2335814.0</v>
      </c>
      <c r="Y21" s="1">
        <v>9.0</v>
      </c>
      <c r="Z21" s="1">
        <v>27.0</v>
      </c>
      <c r="AA21" s="1">
        <v>185.0</v>
      </c>
      <c r="AB21" s="1" t="s">
        <v>291</v>
      </c>
      <c r="AC21" s="1">
        <v>0.0</v>
      </c>
      <c r="AD21" s="1">
        <v>0.0</v>
      </c>
      <c r="AE21" s="1">
        <v>0.0</v>
      </c>
      <c r="AF21" s="1">
        <v>0.0</v>
      </c>
      <c r="AG21" s="7">
        <v>45611.988229166665</v>
      </c>
      <c r="AH21" s="1">
        <v>49.0</v>
      </c>
      <c r="AI21" s="1">
        <v>90.0</v>
      </c>
      <c r="AJ21" s="1">
        <v>-2.0</v>
      </c>
      <c r="AK21" s="1">
        <v>-2.0</v>
      </c>
      <c r="AL21" s="1">
        <v>-2.0</v>
      </c>
      <c r="AM21" s="1">
        <v>-2.0</v>
      </c>
      <c r="AN21" s="1">
        <v>-2.0</v>
      </c>
      <c r="AO21" s="1">
        <v>154.0</v>
      </c>
      <c r="AP21" s="1">
        <v>65.0</v>
      </c>
      <c r="AQ21" s="1">
        <v>-2.0</v>
      </c>
      <c r="AR21" s="1">
        <v>380.0</v>
      </c>
      <c r="AS21" s="1">
        <v>-2.0</v>
      </c>
      <c r="AT21" s="1">
        <v>-2.0</v>
      </c>
      <c r="AU21" s="1">
        <v>-2.0</v>
      </c>
      <c r="AV21" s="1">
        <v>-2.0</v>
      </c>
      <c r="AW21" s="1">
        <v>-2.0</v>
      </c>
      <c r="AX21" s="1">
        <v>-2.0</v>
      </c>
      <c r="AY21" s="1">
        <v>177.0</v>
      </c>
      <c r="AZ21" s="1">
        <v>381.0</v>
      </c>
      <c r="BA21" s="1">
        <v>230.0</v>
      </c>
      <c r="BB21" s="1">
        <v>-2.0</v>
      </c>
      <c r="BC21" s="1">
        <v>-2.0</v>
      </c>
      <c r="BD21" s="1">
        <v>-2.0</v>
      </c>
      <c r="BE21" s="1">
        <v>-2.0</v>
      </c>
      <c r="BF21" s="1">
        <v>-2.0</v>
      </c>
      <c r="BG21" s="1">
        <v>-2.0</v>
      </c>
      <c r="BH21" s="1">
        <v>-2.0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O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</hyperlinks>
  <drawing r:id="rId22"/>
</worksheet>
</file>